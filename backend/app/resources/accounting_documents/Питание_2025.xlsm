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0" windowWidth="28800" windowHeight="12300" tabRatio="927"/>
  </bookViews>
  <sheets>
    <sheet name="СТУДЕНТЫ" sheetId="14" r:id="rId1"/>
    <sheet name="ведомость малоимущих" sheetId="5" r:id="rId2"/>
    <sheet name="табель малоимущих" sheetId="4" r:id="rId3"/>
    <sheet name="ведомость ОВЗ" sheetId="6" r:id="rId4"/>
    <sheet name="табель ОВЗ завтрак" sheetId="7" r:id="rId5"/>
    <sheet name="табель ОВЗ обед" sheetId="8" r:id="rId6"/>
    <sheet name="ведомость сирот" sheetId="3" r:id="rId7"/>
    <sheet name="расчет сирот" sheetId="2" r:id="rId8"/>
    <sheet name="табель сирот" sheetId="1" r:id="rId9"/>
    <sheet name="ведомость мног" sheetId="10" r:id="rId10"/>
    <sheet name="табель мног завтрак" sheetId="11" r:id="rId11"/>
    <sheet name="табель мног обед" sheetId="12" r:id="rId12"/>
    <sheet name="ведомость сух.паек" sheetId="13" r:id="rId13"/>
    <sheet name="СТОЛОВАЯ" sheetId="15" r:id="rId14"/>
  </sheets>
  <functionGroups builtInGroupCount="17"/>
  <definedNames>
    <definedName name="_xlnm._FilterDatabase" localSheetId="0" hidden="1">СТУДЕНТЫ!$A$6:$I$411</definedName>
    <definedName name="_xlnm.Print_Titles" localSheetId="1">'ведомость малоимущих'!$16:$17</definedName>
    <definedName name="_xlnm.Print_Titles" localSheetId="3">'ведомость ОВЗ'!$16:$17</definedName>
    <definedName name="_xlnm.Print_Titles" localSheetId="6">'ведомость сирот'!$16:$17</definedName>
    <definedName name="_xlnm.Print_Titles" localSheetId="7">'расчет сирот'!$8:$8</definedName>
    <definedName name="_xlnm.Print_Titles" localSheetId="2">'табель малоимущих'!$9:$11</definedName>
    <definedName name="_xlnm.Print_Titles" localSheetId="4">'табель ОВЗ завтрак'!$9:$11</definedName>
    <definedName name="_xlnm.Print_Titles" localSheetId="5">'табель ОВЗ обед'!$9:$11</definedName>
    <definedName name="_xlnm.Print_Titles" localSheetId="8">'табель сирот'!$3:$5</definedName>
    <definedName name="_xlnm.Criteria" localSheetId="0">СТУДЕНТЫ!$C$4</definedName>
    <definedName name="_xlnm.Print_Area" localSheetId="1">'ведомость малоимущих'!$A$1:$I$89</definedName>
    <definedName name="_xlnm.Print_Area" localSheetId="3">'ведомость ОВЗ'!$A$1:$I$88</definedName>
    <definedName name="_xlnm.Print_Area" localSheetId="6">'ведомость сирот'!$A$1:$I$53</definedName>
    <definedName name="_xlnm.Print_Area" localSheetId="7">'расчет сирот'!$A$1:$G$41</definedName>
    <definedName name="_xlnm.Print_Area" localSheetId="2">'табель малоимущих'!$A$7:$AP$47</definedName>
    <definedName name="_xlnm.Print_Area" localSheetId="4">'табель ОВЗ завтрак'!$A$7:$AR$47</definedName>
    <definedName name="_xlnm.Print_Area" localSheetId="5">'табель ОВЗ обед'!$A$7:$AO$47</definedName>
    <definedName name="_xlnm.Print_Area" localSheetId="8">'табель сирот'!$A$1:$AQ$40</definedName>
  </definedNames>
  <calcPr calcId="145621"/>
</workbook>
</file>

<file path=xl/calcChain.xml><?xml version="1.0" encoding="utf-8"?>
<calcChain xmlns="http://schemas.openxmlformats.org/spreadsheetml/2006/main">
  <c r="B18" i="5" l="1"/>
  <c r="AU32" i="11" l="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37" i="11"/>
  <c r="AU38" i="11"/>
  <c r="AT21" i="11"/>
  <c r="AU34" i="11"/>
  <c r="AI48" i="11"/>
  <c r="AG48" i="11"/>
  <c r="AE48" i="11"/>
  <c r="AD48" i="11"/>
  <c r="AC48" i="11"/>
  <c r="AB48" i="11"/>
  <c r="AA48" i="11"/>
  <c r="Z48" i="11"/>
  <c r="X48" i="11"/>
  <c r="W48" i="11"/>
  <c r="V48" i="11"/>
  <c r="U48" i="11"/>
  <c r="T48" i="11"/>
  <c r="S48" i="11"/>
  <c r="Q48" i="11"/>
  <c r="P48" i="11"/>
  <c r="O48" i="11"/>
  <c r="N48" i="11"/>
  <c r="M48" i="11"/>
  <c r="L48" i="11"/>
  <c r="J48" i="11"/>
  <c r="I48" i="11"/>
  <c r="G56" i="10"/>
  <c r="AO33" i="12"/>
  <c r="AM33" i="12"/>
  <c r="AK33" i="12"/>
  <c r="AJ33" i="12"/>
  <c r="AJ34" i="12" s="1"/>
  <c r="AI33" i="12"/>
  <c r="AH33" i="12"/>
  <c r="AG33" i="12"/>
  <c r="AF33" i="12"/>
  <c r="X33" i="12"/>
  <c r="W33" i="12"/>
  <c r="V33" i="12"/>
  <c r="U33" i="12"/>
  <c r="T33" i="12"/>
  <c r="S33" i="12"/>
  <c r="Q33" i="12"/>
  <c r="P33" i="12"/>
  <c r="O33" i="12"/>
  <c r="N33" i="12"/>
  <c r="M33" i="12"/>
  <c r="L33" i="12"/>
  <c r="I33" i="12"/>
  <c r="I34" i="12" s="1"/>
  <c r="AQ13" i="12"/>
  <c r="C10" i="2"/>
  <c r="C11" i="2"/>
  <c r="C14" i="2"/>
  <c r="C9" i="2"/>
  <c r="AR12" i="4" l="1"/>
  <c r="A162" i="13" l="1"/>
  <c r="A161" i="13" s="1"/>
  <c r="A160" i="13"/>
  <c r="C156" i="13"/>
  <c r="C153" i="13"/>
  <c r="A158" i="13" s="1"/>
  <c r="A151" i="13"/>
  <c r="G81" i="13"/>
  <c r="F81" i="13"/>
  <c r="B81" i="13"/>
  <c r="G80" i="13"/>
  <c r="F80" i="13"/>
  <c r="B80" i="13"/>
  <c r="G79" i="13"/>
  <c r="F79" i="13"/>
  <c r="B79" i="13"/>
  <c r="G78" i="13"/>
  <c r="F78" i="13"/>
  <c r="B78" i="13"/>
  <c r="G77" i="13"/>
  <c r="F77" i="13"/>
  <c r="G76" i="13"/>
  <c r="F76" i="13"/>
  <c r="G75" i="13"/>
  <c r="F75" i="13"/>
  <c r="G74" i="13"/>
  <c r="F74" i="13"/>
  <c r="B74" i="13"/>
  <c r="G73" i="13"/>
  <c r="F73" i="13"/>
  <c r="B73" i="13"/>
  <c r="G72" i="13"/>
  <c r="F72" i="13"/>
  <c r="B72" i="13"/>
  <c r="G71" i="13"/>
  <c r="F71" i="13"/>
  <c r="B71" i="13"/>
  <c r="G70" i="13"/>
  <c r="F70" i="13"/>
  <c r="B70" i="13"/>
  <c r="G69" i="13"/>
  <c r="F69" i="13"/>
  <c r="B69" i="13"/>
  <c r="G68" i="13"/>
  <c r="F68" i="13"/>
  <c r="B68" i="13"/>
  <c r="G67" i="13"/>
  <c r="F67" i="13"/>
  <c r="B67" i="13"/>
  <c r="G66" i="13"/>
  <c r="F66" i="13"/>
  <c r="B66" i="13"/>
  <c r="G65" i="13"/>
  <c r="F65" i="13"/>
  <c r="B65" i="13"/>
  <c r="G64" i="13"/>
  <c r="F64" i="13"/>
  <c r="B64" i="13"/>
  <c r="G63" i="13"/>
  <c r="F63" i="13"/>
  <c r="B63" i="13"/>
  <c r="G62" i="13"/>
  <c r="F62" i="13"/>
  <c r="B62" i="13"/>
  <c r="G61" i="13"/>
  <c r="F61" i="13"/>
  <c r="B61" i="13"/>
  <c r="G60" i="13"/>
  <c r="F60" i="13"/>
  <c r="B60" i="13"/>
  <c r="G59" i="13"/>
  <c r="F59" i="13"/>
  <c r="B59" i="13"/>
  <c r="G58" i="13"/>
  <c r="F58" i="13"/>
  <c r="B58" i="13"/>
  <c r="G57" i="13"/>
  <c r="F57" i="13"/>
  <c r="B57" i="13"/>
  <c r="G56" i="13"/>
  <c r="F56" i="13"/>
  <c r="B56" i="13"/>
  <c r="G55" i="13"/>
  <c r="F55" i="13"/>
  <c r="B55" i="13"/>
  <c r="G54" i="13"/>
  <c r="F54" i="13"/>
  <c r="B54" i="13"/>
  <c r="F53" i="13"/>
  <c r="B53" i="13"/>
  <c r="F52" i="13"/>
  <c r="B52" i="13"/>
  <c r="F51" i="13"/>
  <c r="B51" i="13"/>
  <c r="F50" i="13"/>
  <c r="B50" i="13"/>
  <c r="F49" i="13"/>
  <c r="B49" i="13"/>
  <c r="F48" i="13"/>
  <c r="B48" i="13"/>
  <c r="F47" i="13"/>
  <c r="B47" i="13"/>
  <c r="F46" i="13"/>
  <c r="B46" i="13"/>
  <c r="F45" i="13"/>
  <c r="B45" i="13"/>
  <c r="F44" i="13"/>
  <c r="B44" i="13"/>
  <c r="F43" i="13"/>
  <c r="B43" i="13"/>
  <c r="F42" i="13"/>
  <c r="B42" i="13"/>
  <c r="F41" i="13"/>
  <c r="B41" i="13"/>
  <c r="F40" i="13"/>
  <c r="B40" i="13"/>
  <c r="F39" i="13"/>
  <c r="B39" i="13"/>
  <c r="D39" i="11"/>
  <c r="D40" i="11"/>
  <c r="D41" i="11"/>
  <c r="D42" i="11"/>
  <c r="D43" i="11"/>
  <c r="D44" i="11"/>
  <c r="D45" i="11"/>
  <c r="D46" i="11"/>
  <c r="D47" i="11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G57" i="10"/>
  <c r="AI47" i="12"/>
  <c r="AH47" i="12"/>
  <c r="AG47" i="12"/>
  <c r="AF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Q47" i="12"/>
  <c r="P47" i="12"/>
  <c r="O47" i="12"/>
  <c r="N47" i="12"/>
  <c r="L47" i="12"/>
  <c r="J47" i="12"/>
  <c r="I47" i="12"/>
  <c r="H47" i="12"/>
  <c r="G47" i="12"/>
  <c r="F47" i="12"/>
  <c r="E46" i="12"/>
  <c r="AI45" i="12"/>
  <c r="AH45" i="12"/>
  <c r="AG45" i="12"/>
  <c r="AF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Q45" i="12"/>
  <c r="P45" i="12"/>
  <c r="O45" i="12"/>
  <c r="N45" i="12"/>
  <c r="L45" i="12"/>
  <c r="J45" i="12"/>
  <c r="I45" i="12"/>
  <c r="H45" i="12"/>
  <c r="G45" i="12"/>
  <c r="F45" i="12"/>
  <c r="E45" i="12"/>
  <c r="AI44" i="12"/>
  <c r="AH44" i="12"/>
  <c r="AG44" i="12"/>
  <c r="AF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Q44" i="12"/>
  <c r="P44" i="12"/>
  <c r="O44" i="12"/>
  <c r="N44" i="12"/>
  <c r="L44" i="12"/>
  <c r="J44" i="12"/>
  <c r="I44" i="12"/>
  <c r="H44" i="12"/>
  <c r="G44" i="12"/>
  <c r="F44" i="12"/>
  <c r="AP39" i="12"/>
  <c r="AO34" i="12"/>
  <c r="AM34" i="12"/>
  <c r="AK34" i="12"/>
  <c r="AI34" i="12"/>
  <c r="AG34" i="12"/>
  <c r="AF34" i="12"/>
  <c r="AD33" i="12"/>
  <c r="AD34" i="12" s="1"/>
  <c r="AC33" i="12"/>
  <c r="AC34" i="12" s="1"/>
  <c r="AB33" i="12"/>
  <c r="AB34" i="12" s="1"/>
  <c r="AA33" i="12"/>
  <c r="AA34" i="12" s="1"/>
  <c r="Z33" i="12"/>
  <c r="Z34" i="12" s="1"/>
  <c r="Y33" i="12"/>
  <c r="X34" i="12"/>
  <c r="W34" i="12"/>
  <c r="V34" i="12"/>
  <c r="U34" i="12"/>
  <c r="T34" i="12"/>
  <c r="S34" i="12"/>
  <c r="Q34" i="12"/>
  <c r="O34" i="12"/>
  <c r="N34" i="12"/>
  <c r="M34" i="12"/>
  <c r="J33" i="12"/>
  <c r="J34" i="12" s="1"/>
  <c r="H33" i="12"/>
  <c r="H34" i="12" s="1"/>
  <c r="G33" i="12"/>
  <c r="F33" i="12"/>
  <c r="F34" i="12" s="1"/>
  <c r="E33" i="12"/>
  <c r="AR29" i="12"/>
  <c r="AP29" i="12" s="1"/>
  <c r="AQ29" i="12"/>
  <c r="AR28" i="12"/>
  <c r="AP28" i="12" s="1"/>
  <c r="AQ28" i="12"/>
  <c r="AR27" i="12"/>
  <c r="AP27" i="12" s="1"/>
  <c r="AQ27" i="12"/>
  <c r="AR26" i="12"/>
  <c r="AP26" i="12" s="1"/>
  <c r="AQ26" i="12"/>
  <c r="AR25" i="12"/>
  <c r="AP25" i="12" s="1"/>
  <c r="AQ25" i="12"/>
  <c r="AR24" i="12"/>
  <c r="AP24" i="12" s="1"/>
  <c r="AQ24" i="12"/>
  <c r="AR23" i="12"/>
  <c r="AP23" i="12" s="1"/>
  <c r="AQ23" i="12"/>
  <c r="AR22" i="12"/>
  <c r="AP22" i="12" s="1"/>
  <c r="AQ22" i="12"/>
  <c r="AR21" i="12"/>
  <c r="AP21" i="12" s="1"/>
  <c r="AQ21" i="12"/>
  <c r="AR20" i="12"/>
  <c r="AQ20" i="12"/>
  <c r="AR18" i="12"/>
  <c r="AQ18" i="12"/>
  <c r="AR17" i="12"/>
  <c r="AP17" i="12" s="1"/>
  <c r="AQ17" i="12"/>
  <c r="AR16" i="12"/>
  <c r="AQ16" i="12"/>
  <c r="AR15" i="12"/>
  <c r="AQ15" i="12"/>
  <c r="AR14" i="12"/>
  <c r="AQ14" i="12"/>
  <c r="AR13" i="12"/>
  <c r="AR12" i="12"/>
  <c r="AP12" i="12" s="1"/>
  <c r="AQ12" i="12"/>
  <c r="AP11" i="12"/>
  <c r="AJ63" i="11"/>
  <c r="T63" i="11"/>
  <c r="AL62" i="11"/>
  <c r="AK62" i="11"/>
  <c r="AJ62" i="11"/>
  <c r="AI62" i="11"/>
  <c r="AG62" i="11"/>
  <c r="AD62" i="11"/>
  <c r="AC62" i="11"/>
  <c r="AB62" i="11"/>
  <c r="AA62" i="11"/>
  <c r="Z62" i="11"/>
  <c r="X62" i="11"/>
  <c r="W62" i="11"/>
  <c r="V62" i="11"/>
  <c r="U62" i="11"/>
  <c r="T62" i="11"/>
  <c r="S62" i="11"/>
  <c r="Q62" i="11"/>
  <c r="P62" i="11"/>
  <c r="O62" i="11"/>
  <c r="N62" i="11"/>
  <c r="L62" i="11"/>
  <c r="J62" i="11"/>
  <c r="I62" i="11"/>
  <c r="H62" i="11"/>
  <c r="G62" i="11"/>
  <c r="F62" i="11"/>
  <c r="E61" i="11"/>
  <c r="AL60" i="11"/>
  <c r="AL63" i="11" s="1"/>
  <c r="AK60" i="11"/>
  <c r="AJ60" i="11"/>
  <c r="AI60" i="11"/>
  <c r="AG60" i="11"/>
  <c r="AD60" i="11"/>
  <c r="AC60" i="11"/>
  <c r="AB60" i="11"/>
  <c r="AA60" i="11"/>
  <c r="Z60" i="11"/>
  <c r="X60" i="11"/>
  <c r="W60" i="11"/>
  <c r="V60" i="11"/>
  <c r="U60" i="11"/>
  <c r="T60" i="11"/>
  <c r="S60" i="11"/>
  <c r="Q60" i="11"/>
  <c r="P60" i="11"/>
  <c r="O60" i="11"/>
  <c r="N60" i="11"/>
  <c r="L60" i="11"/>
  <c r="J60" i="11"/>
  <c r="I60" i="11"/>
  <c r="H60" i="11"/>
  <c r="G60" i="11"/>
  <c r="F60" i="11"/>
  <c r="E60" i="11"/>
  <c r="E64" i="11" s="1"/>
  <c r="AL59" i="11"/>
  <c r="AK59" i="11"/>
  <c r="AK63" i="11" s="1"/>
  <c r="AJ59" i="11"/>
  <c r="AI59" i="11"/>
  <c r="AI63" i="11" s="1"/>
  <c r="AG59" i="11"/>
  <c r="AD59" i="11"/>
  <c r="AD63" i="11" s="1"/>
  <c r="AC59" i="11"/>
  <c r="AC63" i="11" s="1"/>
  <c r="AB59" i="11"/>
  <c r="AB63" i="11" s="1"/>
  <c r="AA59" i="11"/>
  <c r="Z59" i="11"/>
  <c r="Z63" i="11" s="1"/>
  <c r="X59" i="11"/>
  <c r="X63" i="11" s="1"/>
  <c r="W59" i="11"/>
  <c r="W63" i="11" s="1"/>
  <c r="V59" i="11"/>
  <c r="U59" i="11"/>
  <c r="U63" i="11" s="1"/>
  <c r="T59" i="11"/>
  <c r="S59" i="11"/>
  <c r="S63" i="11" s="1"/>
  <c r="Q59" i="11"/>
  <c r="P59" i="11"/>
  <c r="P63" i="11" s="1"/>
  <c r="O59" i="11"/>
  <c r="O63" i="11" s="1"/>
  <c r="N59" i="11"/>
  <c r="N63" i="11" s="1"/>
  <c r="L59" i="11"/>
  <c r="J59" i="11"/>
  <c r="J63" i="11" s="1"/>
  <c r="I59" i="11"/>
  <c r="I63" i="11" s="1"/>
  <c r="H59" i="11"/>
  <c r="H63" i="11" s="1"/>
  <c r="G59" i="11"/>
  <c r="F59" i="11"/>
  <c r="F63" i="11" s="1"/>
  <c r="AS54" i="11"/>
  <c r="AQ49" i="11"/>
  <c r="AP49" i="11"/>
  <c r="AM49" i="11"/>
  <c r="AL49" i="11"/>
  <c r="X49" i="11"/>
  <c r="AR48" i="11"/>
  <c r="AR49" i="11" s="1"/>
  <c r="AQ48" i="11"/>
  <c r="AP48" i="11"/>
  <c r="AO48" i="11"/>
  <c r="AO49" i="11" s="1"/>
  <c r="AN48" i="11"/>
  <c r="AN49" i="11" s="1"/>
  <c r="AM48" i="11"/>
  <c r="AL48" i="11"/>
  <c r="AK48" i="11"/>
  <c r="AJ48" i="11"/>
  <c r="AJ49" i="11" s="1"/>
  <c r="AI49" i="11"/>
  <c r="AG49" i="11"/>
  <c r="AE49" i="11"/>
  <c r="AD49" i="11"/>
  <c r="AC49" i="11"/>
  <c r="AB49" i="11"/>
  <c r="AA49" i="11"/>
  <c r="Z49" i="11"/>
  <c r="W49" i="11"/>
  <c r="V49" i="11"/>
  <c r="U49" i="11"/>
  <c r="T49" i="11"/>
  <c r="S49" i="11"/>
  <c r="Q49" i="11"/>
  <c r="P49" i="11"/>
  <c r="O49" i="11"/>
  <c r="N49" i="11"/>
  <c r="M49" i="11"/>
  <c r="L49" i="11"/>
  <c r="J49" i="11"/>
  <c r="I49" i="11"/>
  <c r="H48" i="11"/>
  <c r="H49" i="11" s="1"/>
  <c r="G48" i="11"/>
  <c r="G49" i="11" s="1"/>
  <c r="F48" i="11"/>
  <c r="F49" i="11" s="1"/>
  <c r="E48" i="11"/>
  <c r="E49" i="11" s="1"/>
  <c r="AU47" i="11"/>
  <c r="AS47" i="11" s="1"/>
  <c r="AT47" i="11"/>
  <c r="AU46" i="11"/>
  <c r="AS46" i="11" s="1"/>
  <c r="AT46" i="11"/>
  <c r="AU45" i="11"/>
  <c r="AS45" i="11" s="1"/>
  <c r="AT45" i="11"/>
  <c r="AU44" i="11"/>
  <c r="AS44" i="11" s="1"/>
  <c r="AT44" i="11"/>
  <c r="AU43" i="11"/>
  <c r="AS43" i="11" s="1"/>
  <c r="AT43" i="11"/>
  <c r="AU42" i="11"/>
  <c r="AS42" i="11" s="1"/>
  <c r="AT42" i="11"/>
  <c r="AU41" i="11"/>
  <c r="AS41" i="11" s="1"/>
  <c r="AT41" i="11"/>
  <c r="AU40" i="11"/>
  <c r="AS40" i="11" s="1"/>
  <c r="AT40" i="11"/>
  <c r="AU39" i="11"/>
  <c r="AT39" i="11"/>
  <c r="AS38" i="11"/>
  <c r="AT38" i="11"/>
  <c r="AS37" i="11"/>
  <c r="AT37" i="11"/>
  <c r="AU36" i="11"/>
  <c r="AS36" i="11" s="1"/>
  <c r="AT36" i="11"/>
  <c r="AU35" i="11"/>
  <c r="AS35" i="11" s="1"/>
  <c r="AT35" i="11"/>
  <c r="AS34" i="11"/>
  <c r="AT34" i="11"/>
  <c r="AU33" i="11"/>
  <c r="AS33" i="11" s="1"/>
  <c r="AT33" i="11"/>
  <c r="AS32" i="11"/>
  <c r="AT32" i="11"/>
  <c r="AS31" i="11"/>
  <c r="AT31" i="11"/>
  <c r="AS30" i="11"/>
  <c r="AT30" i="11"/>
  <c r="AS29" i="11"/>
  <c r="AT29" i="11"/>
  <c r="AS28" i="11"/>
  <c r="AT28" i="11"/>
  <c r="AS27" i="11"/>
  <c r="AT27" i="11"/>
  <c r="AS26" i="11"/>
  <c r="AT26" i="11"/>
  <c r="AS25" i="11"/>
  <c r="AT25" i="11"/>
  <c r="AS24" i="11"/>
  <c r="AT24" i="11"/>
  <c r="AS23" i="11"/>
  <c r="AT23" i="11"/>
  <c r="AS22" i="11"/>
  <c r="AT22" i="11"/>
  <c r="AS21" i="11"/>
  <c r="AS20" i="11"/>
  <c r="AT20" i="11"/>
  <c r="AS19" i="11"/>
  <c r="AT19" i="11"/>
  <c r="AS18" i="11"/>
  <c r="AT18" i="11"/>
  <c r="AS17" i="11"/>
  <c r="AT17" i="11"/>
  <c r="AS16" i="11"/>
  <c r="AT16" i="11"/>
  <c r="AS15" i="11"/>
  <c r="AT15" i="11"/>
  <c r="AS14" i="11"/>
  <c r="AT14" i="11"/>
  <c r="AS13" i="11"/>
  <c r="AT13" i="11"/>
  <c r="AT12" i="11"/>
  <c r="AS11" i="11"/>
  <c r="A165" i="10"/>
  <c r="A164" i="10" s="1"/>
  <c r="A163" i="10"/>
  <c r="C159" i="10"/>
  <c r="C156" i="10"/>
  <c r="A161" i="10" s="1"/>
  <c r="A154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AH48" i="12" l="1"/>
  <c r="F48" i="12"/>
  <c r="J48" i="12"/>
  <c r="P48" i="12"/>
  <c r="U48" i="12"/>
  <c r="Y48" i="12"/>
  <c r="AC48" i="12"/>
  <c r="N48" i="12"/>
  <c r="W48" i="12"/>
  <c r="AF48" i="12"/>
  <c r="I48" i="12"/>
  <c r="O48" i="12"/>
  <c r="T48" i="12"/>
  <c r="X48" i="12"/>
  <c r="AB48" i="12"/>
  <c r="AG48" i="12"/>
  <c r="H48" i="12"/>
  <c r="S48" i="12"/>
  <c r="E49" i="12"/>
  <c r="G48" i="12"/>
  <c r="Q48" i="12"/>
  <c r="V48" i="12"/>
  <c r="Z48" i="12"/>
  <c r="AD48" i="12"/>
  <c r="AA48" i="12"/>
  <c r="AQ33" i="12"/>
  <c r="AP16" i="12"/>
  <c r="G63" i="11"/>
  <c r="L63" i="11"/>
  <c r="Q63" i="11"/>
  <c r="V63" i="11"/>
  <c r="AS49" i="11"/>
  <c r="AS39" i="11"/>
  <c r="AU48" i="11"/>
  <c r="AA63" i="11"/>
  <c r="AG63" i="11"/>
  <c r="AP18" i="12"/>
  <c r="AP14" i="12"/>
  <c r="AP13" i="12"/>
  <c r="AP15" i="12"/>
  <c r="AP20" i="12"/>
  <c r="AI48" i="12"/>
  <c r="L48" i="12"/>
  <c r="G50" i="10"/>
  <c r="G52" i="10"/>
  <c r="G45" i="10"/>
  <c r="G47" i="10"/>
  <c r="G49" i="10"/>
  <c r="G51" i="10"/>
  <c r="G53" i="10"/>
  <c r="G46" i="10"/>
  <c r="G48" i="10"/>
  <c r="AP33" i="12"/>
  <c r="G34" i="12"/>
  <c r="P34" i="12"/>
  <c r="Y34" i="12"/>
  <c r="AH34" i="12"/>
  <c r="L34" i="12"/>
  <c r="AT48" i="11"/>
  <c r="E34" i="12"/>
  <c r="E48" i="12"/>
  <c r="E63" i="11"/>
  <c r="AR33" i="12"/>
  <c r="AS48" i="11"/>
  <c r="AS12" i="11"/>
  <c r="AK49" i="11"/>
  <c r="G85" i="10" l="1"/>
  <c r="AP34" i="12"/>
  <c r="A93" i="10" l="1"/>
  <c r="C93" i="10" s="1"/>
  <c r="D93" i="10" s="1"/>
  <c r="A104" i="10"/>
  <c r="A103" i="10" s="1"/>
  <c r="C101" i="10" s="1"/>
  <c r="E101" i="10" s="1"/>
  <c r="F19" i="3"/>
  <c r="F20" i="3"/>
  <c r="F21" i="3"/>
  <c r="F25" i="3"/>
  <c r="F26" i="3"/>
  <c r="F27" i="3"/>
  <c r="F28" i="3"/>
  <c r="F29" i="3"/>
  <c r="F30" i="3"/>
  <c r="F31" i="3"/>
  <c r="F32" i="3"/>
  <c r="F33" i="3"/>
  <c r="F34" i="3"/>
  <c r="F35" i="3"/>
  <c r="F36" i="3"/>
  <c r="D101" i="10" l="1"/>
  <c r="A102" i="10" s="1"/>
  <c r="E93" i="10"/>
  <c r="F93" i="10"/>
  <c r="C94" i="10"/>
  <c r="D94" i="10" s="1"/>
  <c r="B16" i="7"/>
  <c r="C95" i="10" l="1"/>
  <c r="C96" i="10" s="1"/>
  <c r="E96" i="10" s="1"/>
  <c r="F94" i="10"/>
  <c r="E94" i="10"/>
  <c r="AR37" i="4"/>
  <c r="AR36" i="4"/>
  <c r="AR35" i="4"/>
  <c r="AR34" i="4"/>
  <c r="AR33" i="4"/>
  <c r="AR32" i="4"/>
  <c r="AR31" i="4"/>
  <c r="AR30" i="4"/>
  <c r="AR28" i="4"/>
  <c r="AR27" i="4"/>
  <c r="AR26" i="4"/>
  <c r="AR25" i="4"/>
  <c r="AR24" i="4"/>
  <c r="AR23" i="4"/>
  <c r="AR22" i="4"/>
  <c r="AR21" i="4"/>
  <c r="AR20" i="4"/>
  <c r="AR19" i="4"/>
  <c r="AR18" i="4"/>
  <c r="AR17" i="4"/>
  <c r="AR16" i="4"/>
  <c r="AR15" i="4"/>
  <c r="AR14" i="4"/>
  <c r="AR13" i="4"/>
  <c r="H95" i="10" l="1"/>
  <c r="F96" i="10"/>
  <c r="C97" i="10"/>
  <c r="C98" i="10" s="1"/>
  <c r="E95" i="10"/>
  <c r="D96" i="10"/>
  <c r="G95" i="10"/>
  <c r="F95" i="10"/>
  <c r="D95" i="10"/>
  <c r="AP36" i="4"/>
  <c r="G43" i="5" s="1"/>
  <c r="E97" i="10" l="1"/>
  <c r="D97" i="10"/>
  <c r="D98" i="10"/>
  <c r="C99" i="10"/>
  <c r="E99" i="10" s="1"/>
  <c r="E98" i="10"/>
  <c r="W44" i="7"/>
  <c r="X44" i="7"/>
  <c r="Y44" i="7"/>
  <c r="AA44" i="7"/>
  <c r="AB44" i="7"/>
  <c r="AC44" i="7"/>
  <c r="AD44" i="7"/>
  <c r="AK44" i="4"/>
  <c r="AJ44" i="4"/>
  <c r="AI44" i="4"/>
  <c r="AF44" i="4"/>
  <c r="X44" i="4"/>
  <c r="W44" i="4"/>
  <c r="T44" i="4"/>
  <c r="S44" i="4"/>
  <c r="Q44" i="4"/>
  <c r="H98" i="10" l="1"/>
  <c r="G98" i="10"/>
  <c r="D99" i="10"/>
  <c r="I99" i="10"/>
  <c r="P37" i="1"/>
  <c r="Q6" i="12" l="1"/>
  <c r="Q6" i="11"/>
  <c r="A100" i="10"/>
  <c r="B1" i="10" s="1"/>
  <c r="B12" i="7"/>
  <c r="AP15" i="4" l="1"/>
  <c r="G22" i="5" s="1"/>
  <c r="AP23" i="4"/>
  <c r="G30" i="5" s="1"/>
  <c r="AH37" i="1" l="1"/>
  <c r="AF37" i="1"/>
  <c r="AD37" i="1"/>
  <c r="AC37" i="1"/>
  <c r="AB37" i="1"/>
  <c r="AA37" i="1"/>
  <c r="Z37" i="1"/>
  <c r="Y37" i="1"/>
  <c r="W37" i="1"/>
  <c r="V37" i="1"/>
  <c r="U37" i="1"/>
  <c r="T37" i="1"/>
  <c r="S37" i="1"/>
  <c r="R37" i="1"/>
  <c r="O37" i="1"/>
  <c r="N37" i="1"/>
  <c r="M37" i="1"/>
  <c r="L37" i="1"/>
  <c r="K37" i="1"/>
  <c r="I37" i="1"/>
  <c r="H37" i="1"/>
  <c r="G37" i="1"/>
  <c r="F37" i="1"/>
  <c r="E37" i="1"/>
  <c r="D37" i="1"/>
  <c r="AN44" i="8"/>
  <c r="AL44" i="8"/>
  <c r="AJ44" i="8"/>
  <c r="AI44" i="8"/>
  <c r="AH44" i="8"/>
  <c r="AG44" i="8"/>
  <c r="AF44" i="8"/>
  <c r="AE44" i="8"/>
  <c r="X44" i="8"/>
  <c r="W44" i="8"/>
  <c r="V44" i="8"/>
  <c r="U44" i="8"/>
  <c r="T44" i="8"/>
  <c r="S44" i="8"/>
  <c r="Q44" i="8"/>
  <c r="P44" i="8"/>
  <c r="O44" i="8"/>
  <c r="N44" i="8"/>
  <c r="M44" i="8"/>
  <c r="L44" i="8"/>
  <c r="J44" i="8"/>
  <c r="I44" i="8"/>
  <c r="H44" i="8"/>
  <c r="G44" i="8"/>
  <c r="F44" i="8"/>
  <c r="E44" i="8"/>
  <c r="AH44" i="7"/>
  <c r="AF44" i="7"/>
  <c r="Z44" i="7"/>
  <c r="V44" i="7"/>
  <c r="U44" i="7"/>
  <c r="T44" i="7"/>
  <c r="S44" i="7"/>
  <c r="Q44" i="7"/>
  <c r="P44" i="7"/>
  <c r="O44" i="7"/>
  <c r="N44" i="7"/>
  <c r="M44" i="7"/>
  <c r="L44" i="7"/>
  <c r="J44" i="7"/>
  <c r="I44" i="7"/>
  <c r="H44" i="7"/>
  <c r="G44" i="7"/>
  <c r="F44" i="7"/>
  <c r="E44" i="7"/>
  <c r="AO44" i="4"/>
  <c r="AN44" i="4"/>
  <c r="AM44" i="4"/>
  <c r="AH44" i="4"/>
  <c r="AG44" i="4"/>
  <c r="AG45" i="4" s="1"/>
  <c r="V44" i="4"/>
  <c r="U44" i="4"/>
  <c r="P44" i="4"/>
  <c r="O44" i="4"/>
  <c r="N44" i="4"/>
  <c r="M44" i="4"/>
  <c r="L44" i="4"/>
  <c r="J44" i="4"/>
  <c r="I44" i="4"/>
  <c r="H44" i="4"/>
  <c r="G44" i="4"/>
  <c r="F44" i="4"/>
  <c r="E44" i="4"/>
  <c r="H6" i="12" l="1"/>
  <c r="H6" i="11"/>
  <c r="F6" i="12"/>
  <c r="F6" i="11"/>
  <c r="J6" i="11"/>
  <c r="J6" i="12"/>
  <c r="O6" i="11"/>
  <c r="O6" i="12"/>
  <c r="U6" i="12"/>
  <c r="U6" i="11"/>
  <c r="Z6" i="11"/>
  <c r="Y6" i="12"/>
  <c r="AD6" i="11"/>
  <c r="AC6" i="12"/>
  <c r="S6" i="11"/>
  <c r="S6" i="12"/>
  <c r="G6" i="11"/>
  <c r="G6" i="12"/>
  <c r="L6" i="11"/>
  <c r="L6" i="12"/>
  <c r="P6" i="12"/>
  <c r="P6" i="11"/>
  <c r="V6" i="12"/>
  <c r="V6" i="11"/>
  <c r="Z6" i="12"/>
  <c r="AA6" i="11"/>
  <c r="AG6" i="11"/>
  <c r="AD6" i="12"/>
  <c r="W6" i="11"/>
  <c r="W6" i="12"/>
  <c r="AA6" i="12"/>
  <c r="AB6" i="11"/>
  <c r="AF6" i="12"/>
  <c r="AI6" i="11"/>
  <c r="E6" i="11"/>
  <c r="E6" i="12"/>
  <c r="I6" i="11"/>
  <c r="I6" i="12"/>
  <c r="N6" i="12"/>
  <c r="N6" i="11"/>
  <c r="T6" i="11"/>
  <c r="T6" i="12"/>
  <c r="X6" i="11"/>
  <c r="X6" i="12"/>
  <c r="AC6" i="11"/>
  <c r="AB6" i="12"/>
  <c r="AJ6" i="11"/>
  <c r="AG6" i="12"/>
  <c r="AT15" i="7"/>
  <c r="AT14" i="7"/>
  <c r="AT13" i="7"/>
  <c r="AT12" i="7"/>
  <c r="AR12" i="7" s="1"/>
  <c r="B15" i="7"/>
  <c r="B14" i="7"/>
  <c r="B21" i="6"/>
  <c r="B20" i="6"/>
  <c r="B19" i="6"/>
  <c r="B13" i="7"/>
  <c r="D13" i="7" l="1"/>
  <c r="AR29" i="4" l="1"/>
  <c r="AP21" i="4"/>
  <c r="AD45" i="7" l="1"/>
  <c r="AM45" i="4"/>
  <c r="B18" i="6" l="1"/>
  <c r="B45" i="5" l="1"/>
  <c r="B34" i="3" l="1"/>
  <c r="B33" i="3"/>
  <c r="AL44" i="7"/>
  <c r="AL45" i="7" s="1"/>
  <c r="AP44" i="7"/>
  <c r="AP45" i="7" s="1"/>
  <c r="AS22" i="1"/>
  <c r="AR22" i="1"/>
  <c r="AP11" i="4" l="1"/>
  <c r="AI37" i="1" l="1"/>
  <c r="AJ37" i="1"/>
  <c r="AK37" i="1"/>
  <c r="AL37" i="1"/>
  <c r="AM37" i="1"/>
  <c r="AN37" i="1"/>
  <c r="AO37" i="1"/>
  <c r="AP37" i="1"/>
  <c r="Y44" i="8"/>
  <c r="Z44" i="8"/>
  <c r="AA44" i="8"/>
  <c r="AB44" i="8"/>
  <c r="AC44" i="8"/>
  <c r="AD44" i="8"/>
  <c r="AI44" i="7"/>
  <c r="AJ44" i="7"/>
  <c r="AK44" i="7"/>
  <c r="AM44" i="7"/>
  <c r="AN44" i="7"/>
  <c r="AO44" i="7"/>
  <c r="AQ44" i="7"/>
  <c r="AL6" i="11" l="1"/>
  <c r="AI6" i="12"/>
  <c r="AH6" i="12"/>
  <c r="AK6" i="11"/>
  <c r="AR44" i="7"/>
  <c r="AQ37" i="1"/>
  <c r="AO44" i="8"/>
  <c r="AS37" i="1"/>
  <c r="F40" i="5"/>
  <c r="F41" i="5"/>
  <c r="B40" i="5"/>
  <c r="B41" i="5"/>
  <c r="B42" i="5"/>
  <c r="B43" i="5"/>
  <c r="B31" i="5"/>
  <c r="F31" i="5"/>
  <c r="AQ24" i="4"/>
  <c r="AP22" i="4"/>
  <c r="G29" i="5" s="1"/>
  <c r="AP24" i="4"/>
  <c r="G31" i="5" s="1"/>
  <c r="AQ22" i="4"/>
  <c r="B29" i="5"/>
  <c r="F29" i="5"/>
  <c r="AS6" i="11" l="1"/>
  <c r="AP6" i="12"/>
  <c r="B44" i="5"/>
  <c r="G54" i="5" l="1"/>
  <c r="G55" i="5"/>
  <c r="G56" i="5"/>
  <c r="G57" i="5"/>
  <c r="B76" i="5"/>
  <c r="B75" i="5"/>
  <c r="B74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18" i="5"/>
  <c r="F19" i="5"/>
  <c r="F20" i="5"/>
  <c r="F21" i="5"/>
  <c r="F22" i="5"/>
  <c r="F23" i="5"/>
  <c r="F24" i="5"/>
  <c r="F25" i="5"/>
  <c r="F26" i="5"/>
  <c r="F27" i="5"/>
  <c r="F28" i="5"/>
  <c r="F30" i="5"/>
  <c r="F32" i="5"/>
  <c r="F33" i="5"/>
  <c r="F34" i="5"/>
  <c r="F35" i="5"/>
  <c r="F36" i="5"/>
  <c r="F37" i="5"/>
  <c r="F38" i="5"/>
  <c r="F39" i="5"/>
  <c r="B39" i="5"/>
  <c r="B35" i="5"/>
  <c r="B36" i="5"/>
  <c r="B37" i="5"/>
  <c r="B38" i="5"/>
  <c r="B24" i="5"/>
  <c r="B25" i="5"/>
  <c r="B26" i="5"/>
  <c r="B27" i="5"/>
  <c r="B28" i="5"/>
  <c r="B30" i="5"/>
  <c r="B32" i="5"/>
  <c r="B33" i="5"/>
  <c r="B34" i="5"/>
  <c r="B19" i="5"/>
  <c r="B20" i="5"/>
  <c r="B21" i="5"/>
  <c r="B22" i="5"/>
  <c r="B23" i="5"/>
  <c r="AP12" i="8" l="1"/>
  <c r="AP13" i="8"/>
  <c r="AP14" i="8"/>
  <c r="AP15" i="8"/>
  <c r="AP16" i="8"/>
  <c r="AP17" i="8"/>
  <c r="AP18" i="8"/>
  <c r="AP19" i="8"/>
  <c r="AP20" i="8"/>
  <c r="AP21" i="8"/>
  <c r="AP22" i="8"/>
  <c r="AP23" i="8"/>
  <c r="AP24" i="8"/>
  <c r="AP25" i="8"/>
  <c r="AP26" i="8"/>
  <c r="AP27" i="8"/>
  <c r="AP28" i="8"/>
  <c r="AP29" i="8"/>
  <c r="AP30" i="8"/>
  <c r="AP31" i="8"/>
  <c r="AP32" i="8"/>
  <c r="AP33" i="8"/>
  <c r="AP34" i="8"/>
  <c r="AP35" i="8"/>
  <c r="AP36" i="8"/>
  <c r="AP37" i="8"/>
  <c r="AP38" i="8"/>
  <c r="AP39" i="8"/>
  <c r="AP40" i="8"/>
  <c r="AP41" i="8"/>
  <c r="AP42" i="8"/>
  <c r="AS13" i="7"/>
  <c r="AS14" i="7"/>
  <c r="AS15" i="7"/>
  <c r="AS16" i="7"/>
  <c r="AS17" i="7"/>
  <c r="AS18" i="7"/>
  <c r="AS19" i="7"/>
  <c r="AS20" i="7"/>
  <c r="AS21" i="7"/>
  <c r="AS22" i="7"/>
  <c r="AS23" i="7"/>
  <c r="AS24" i="7"/>
  <c r="AS25" i="7"/>
  <c r="AS26" i="7"/>
  <c r="AS27" i="7"/>
  <c r="AS28" i="7"/>
  <c r="AS29" i="7"/>
  <c r="AS30" i="7"/>
  <c r="AS31" i="7"/>
  <c r="AS32" i="7"/>
  <c r="AS33" i="7"/>
  <c r="AS34" i="7"/>
  <c r="AS35" i="7"/>
  <c r="AS36" i="7"/>
  <c r="AS37" i="7"/>
  <c r="AS38" i="7"/>
  <c r="AS39" i="7"/>
  <c r="AS40" i="7"/>
  <c r="AS41" i="7"/>
  <c r="AS42" i="7"/>
  <c r="AQ32" i="4"/>
  <c r="AQ25" i="4"/>
  <c r="AQ26" i="4"/>
  <c r="AP25" i="4" l="1"/>
  <c r="G32" i="5" s="1"/>
  <c r="AP26" i="4"/>
  <c r="G33" i="5" s="1"/>
  <c r="AP32" i="4"/>
  <c r="G39" i="5" s="1"/>
  <c r="AP30" i="4" l="1"/>
  <c r="AQ30" i="4"/>
  <c r="G37" i="5" l="1"/>
  <c r="AP44" i="8" l="1"/>
  <c r="G51" i="6"/>
  <c r="G52" i="6"/>
  <c r="G53" i="6"/>
  <c r="G54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18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12" i="7"/>
  <c r="C13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12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Q58" i="8"/>
  <c r="P58" i="8"/>
  <c r="O58" i="8"/>
  <c r="N58" i="8"/>
  <c r="L58" i="8"/>
  <c r="J58" i="8"/>
  <c r="I58" i="8"/>
  <c r="H58" i="8"/>
  <c r="G58" i="8"/>
  <c r="F58" i="8"/>
  <c r="E57" i="8"/>
  <c r="AH56" i="8"/>
  <c r="AG56" i="8"/>
  <c r="AF56" i="8"/>
  <c r="AE56" i="8"/>
  <c r="AD56" i="8"/>
  <c r="AC56" i="8"/>
  <c r="AB56" i="8"/>
  <c r="AA56" i="8"/>
  <c r="Z56" i="8"/>
  <c r="Y56" i="8"/>
  <c r="X56" i="8"/>
  <c r="W56" i="8"/>
  <c r="V56" i="8"/>
  <c r="U56" i="8"/>
  <c r="T56" i="8"/>
  <c r="S56" i="8"/>
  <c r="Q56" i="8"/>
  <c r="P56" i="8"/>
  <c r="O56" i="8"/>
  <c r="N56" i="8"/>
  <c r="L56" i="8"/>
  <c r="J56" i="8"/>
  <c r="I56" i="8"/>
  <c r="H56" i="8"/>
  <c r="G56" i="8"/>
  <c r="F56" i="8"/>
  <c r="E56" i="8"/>
  <c r="AH55" i="8"/>
  <c r="AG55" i="8"/>
  <c r="AF55" i="8"/>
  <c r="AE55" i="8"/>
  <c r="AD55" i="8"/>
  <c r="AC55" i="8"/>
  <c r="AB55" i="8"/>
  <c r="AA55" i="8"/>
  <c r="Z55" i="8"/>
  <c r="Y55" i="8"/>
  <c r="X55" i="8"/>
  <c r="W55" i="8"/>
  <c r="V55" i="8"/>
  <c r="U55" i="8"/>
  <c r="T55" i="8"/>
  <c r="S55" i="8"/>
  <c r="Q55" i="8"/>
  <c r="P55" i="8"/>
  <c r="O55" i="8"/>
  <c r="N55" i="8"/>
  <c r="L55" i="8"/>
  <c r="J55" i="8"/>
  <c r="I55" i="8"/>
  <c r="H55" i="8"/>
  <c r="G55" i="8"/>
  <c r="F55" i="8"/>
  <c r="AO50" i="8"/>
  <c r="AN45" i="8"/>
  <c r="AL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T45" i="8"/>
  <c r="S45" i="8"/>
  <c r="Q45" i="8"/>
  <c r="P45" i="8"/>
  <c r="O45" i="8"/>
  <c r="N45" i="8"/>
  <c r="M45" i="8"/>
  <c r="L45" i="8"/>
  <c r="J45" i="8"/>
  <c r="I45" i="8"/>
  <c r="H45" i="8"/>
  <c r="G45" i="8"/>
  <c r="F45" i="8"/>
  <c r="AQ42" i="8"/>
  <c r="AO42" i="8" s="1"/>
  <c r="AQ41" i="8"/>
  <c r="AO41" i="8" s="1"/>
  <c r="AQ40" i="8"/>
  <c r="AO40" i="8" s="1"/>
  <c r="AQ39" i="8"/>
  <c r="AO39" i="8" s="1"/>
  <c r="AQ38" i="8"/>
  <c r="AO38" i="8" s="1"/>
  <c r="AQ37" i="8"/>
  <c r="AO37" i="8" s="1"/>
  <c r="AQ36" i="8"/>
  <c r="AO36" i="8" s="1"/>
  <c r="AQ35" i="8"/>
  <c r="AO35" i="8" s="1"/>
  <c r="AQ34" i="8"/>
  <c r="AO34" i="8" s="1"/>
  <c r="AQ33" i="8"/>
  <c r="AO33" i="8" s="1"/>
  <c r="AQ32" i="8"/>
  <c r="AO32" i="8" s="1"/>
  <c r="AQ31" i="8"/>
  <c r="AO31" i="8" s="1"/>
  <c r="AQ30" i="8"/>
  <c r="AO30" i="8" s="1"/>
  <c r="AQ29" i="8"/>
  <c r="AO29" i="8" s="1"/>
  <c r="AQ28" i="8"/>
  <c r="AO28" i="8" s="1"/>
  <c r="AQ27" i="8"/>
  <c r="AO27" i="8" s="1"/>
  <c r="AQ26" i="8"/>
  <c r="AO26" i="8" s="1"/>
  <c r="AQ25" i="8"/>
  <c r="AO25" i="8" s="1"/>
  <c r="AQ24" i="8"/>
  <c r="AO24" i="8" s="1"/>
  <c r="AQ23" i="8"/>
  <c r="AO23" i="8" s="1"/>
  <c r="AQ22" i="8"/>
  <c r="AO22" i="8" s="1"/>
  <c r="AQ21" i="8"/>
  <c r="AO21" i="8" s="1"/>
  <c r="AQ20" i="8"/>
  <c r="AO20" i="8" s="1"/>
  <c r="AQ19" i="8"/>
  <c r="AO19" i="8" s="1"/>
  <c r="AQ18" i="8"/>
  <c r="AO18" i="8" s="1"/>
  <c r="AQ17" i="8"/>
  <c r="AO17" i="8" s="1"/>
  <c r="AQ16" i="8"/>
  <c r="AO16" i="8" s="1"/>
  <c r="AQ15" i="8"/>
  <c r="AO15" i="8" s="1"/>
  <c r="AQ14" i="8"/>
  <c r="AO14" i="8" s="1"/>
  <c r="AQ13" i="8"/>
  <c r="AQ12" i="8"/>
  <c r="AO11" i="8"/>
  <c r="AK58" i="7"/>
  <c r="AJ58" i="7"/>
  <c r="AI58" i="7"/>
  <c r="AH58" i="7"/>
  <c r="AF58" i="7"/>
  <c r="AC58" i="7"/>
  <c r="AB58" i="7"/>
  <c r="AA58" i="7"/>
  <c r="Z58" i="7"/>
  <c r="Y58" i="7"/>
  <c r="X58" i="7"/>
  <c r="W58" i="7"/>
  <c r="V58" i="7"/>
  <c r="U58" i="7"/>
  <c r="T58" i="7"/>
  <c r="S58" i="7"/>
  <c r="Q58" i="7"/>
  <c r="P58" i="7"/>
  <c r="O58" i="7"/>
  <c r="N58" i="7"/>
  <c r="L58" i="7"/>
  <c r="J58" i="7"/>
  <c r="I58" i="7"/>
  <c r="H58" i="7"/>
  <c r="G58" i="7"/>
  <c r="F58" i="7"/>
  <c r="E57" i="7"/>
  <c r="AK56" i="7"/>
  <c r="AJ56" i="7"/>
  <c r="AI56" i="7"/>
  <c r="AH56" i="7"/>
  <c r="AF56" i="7"/>
  <c r="AC56" i="7"/>
  <c r="AB56" i="7"/>
  <c r="AA56" i="7"/>
  <c r="Z56" i="7"/>
  <c r="Y56" i="7"/>
  <c r="X56" i="7"/>
  <c r="W56" i="7"/>
  <c r="V56" i="7"/>
  <c r="U56" i="7"/>
  <c r="T56" i="7"/>
  <c r="S56" i="7"/>
  <c r="Q56" i="7"/>
  <c r="P56" i="7"/>
  <c r="O56" i="7"/>
  <c r="N56" i="7"/>
  <c r="L56" i="7"/>
  <c r="J56" i="7"/>
  <c r="I56" i="7"/>
  <c r="H56" i="7"/>
  <c r="G56" i="7"/>
  <c r="F56" i="7"/>
  <c r="E56" i="7"/>
  <c r="AK55" i="7"/>
  <c r="AJ55" i="7"/>
  <c r="AI55" i="7"/>
  <c r="AH55" i="7"/>
  <c r="AF55" i="7"/>
  <c r="AC55" i="7"/>
  <c r="AB55" i="7"/>
  <c r="AA55" i="7"/>
  <c r="Z55" i="7"/>
  <c r="Y55" i="7"/>
  <c r="X55" i="7"/>
  <c r="W55" i="7"/>
  <c r="V55" i="7"/>
  <c r="U55" i="7"/>
  <c r="T55" i="7"/>
  <c r="S55" i="7"/>
  <c r="Q55" i="7"/>
  <c r="P55" i="7"/>
  <c r="O55" i="7"/>
  <c r="N55" i="7"/>
  <c r="L55" i="7"/>
  <c r="J55" i="7"/>
  <c r="I55" i="7"/>
  <c r="H55" i="7"/>
  <c r="G55" i="7"/>
  <c r="F55" i="7"/>
  <c r="AR50" i="7"/>
  <c r="AQ45" i="7"/>
  <c r="AO45" i="7"/>
  <c r="AN45" i="7"/>
  <c r="AM45" i="7"/>
  <c r="AK45" i="7"/>
  <c r="AJ45" i="7"/>
  <c r="AI45" i="7"/>
  <c r="AH45" i="7"/>
  <c r="AF45" i="7"/>
  <c r="AC45" i="7"/>
  <c r="AB45" i="7"/>
  <c r="AA45" i="7"/>
  <c r="Z45" i="7"/>
  <c r="Y45" i="7"/>
  <c r="X45" i="7"/>
  <c r="W45" i="7"/>
  <c r="V45" i="7"/>
  <c r="U45" i="7"/>
  <c r="T45" i="7"/>
  <c r="S45" i="7"/>
  <c r="Q45" i="7"/>
  <c r="P45" i="7"/>
  <c r="O45" i="7"/>
  <c r="N45" i="7"/>
  <c r="M45" i="7"/>
  <c r="L45" i="7"/>
  <c r="J45" i="7"/>
  <c r="I45" i="7"/>
  <c r="H45" i="7"/>
  <c r="G45" i="7"/>
  <c r="F45" i="7"/>
  <c r="AT42" i="7"/>
  <c r="AR42" i="7" s="1"/>
  <c r="AT41" i="7"/>
  <c r="AR41" i="7" s="1"/>
  <c r="AT40" i="7"/>
  <c r="AR40" i="7" s="1"/>
  <c r="AT39" i="7"/>
  <c r="AR39" i="7" s="1"/>
  <c r="AT38" i="7"/>
  <c r="AR38" i="7" s="1"/>
  <c r="AT37" i="7"/>
  <c r="AR37" i="7" s="1"/>
  <c r="AT36" i="7"/>
  <c r="AR36" i="7" s="1"/>
  <c r="AT35" i="7"/>
  <c r="AR35" i="7" s="1"/>
  <c r="AT34" i="7"/>
  <c r="AR34" i="7" s="1"/>
  <c r="AT33" i="7"/>
  <c r="AR33" i="7" s="1"/>
  <c r="AT32" i="7"/>
  <c r="AR32" i="7" s="1"/>
  <c r="AT31" i="7"/>
  <c r="AR31" i="7" s="1"/>
  <c r="AT30" i="7"/>
  <c r="AR30" i="7" s="1"/>
  <c r="AT29" i="7"/>
  <c r="AR29" i="7" s="1"/>
  <c r="AT28" i="7"/>
  <c r="AR28" i="7" s="1"/>
  <c r="AT27" i="7"/>
  <c r="AR27" i="7" s="1"/>
  <c r="AT26" i="7"/>
  <c r="AR26" i="7" s="1"/>
  <c r="AT25" i="7"/>
  <c r="AR25" i="7" s="1"/>
  <c r="AT24" i="7"/>
  <c r="AR24" i="7" s="1"/>
  <c r="AT23" i="7"/>
  <c r="AR23" i="7" s="1"/>
  <c r="AT22" i="7"/>
  <c r="AR22" i="7" s="1"/>
  <c r="AT21" i="7"/>
  <c r="AR21" i="7" s="1"/>
  <c r="AT20" i="7"/>
  <c r="AR20" i="7" s="1"/>
  <c r="AT19" i="7"/>
  <c r="AR19" i="7" s="1"/>
  <c r="AT18" i="7"/>
  <c r="AR18" i="7" s="1"/>
  <c r="AT17" i="7"/>
  <c r="AR17" i="7" s="1"/>
  <c r="AT16" i="7"/>
  <c r="AR15" i="7"/>
  <c r="AR14" i="7"/>
  <c r="AS12" i="7"/>
  <c r="AR11" i="7"/>
  <c r="A163" i="6"/>
  <c r="A162" i="6" s="1"/>
  <c r="A161" i="6"/>
  <c r="C157" i="6"/>
  <c r="C154" i="6"/>
  <c r="A152" i="6"/>
  <c r="B82" i="6"/>
  <c r="B81" i="6"/>
  <c r="B80" i="6"/>
  <c r="B79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AO12" i="8" l="1"/>
  <c r="G18" i="6" s="1"/>
  <c r="AO13" i="8"/>
  <c r="G51" i="13"/>
  <c r="G41" i="13"/>
  <c r="G45" i="13"/>
  <c r="G49" i="13"/>
  <c r="G42" i="13"/>
  <c r="G46" i="13"/>
  <c r="G50" i="13"/>
  <c r="G39" i="13"/>
  <c r="G43" i="13"/>
  <c r="G47" i="13"/>
  <c r="G40" i="13"/>
  <c r="G44" i="13"/>
  <c r="G48" i="13"/>
  <c r="AT44" i="7"/>
  <c r="AR16" i="7"/>
  <c r="AR13" i="7"/>
  <c r="G19" i="6" s="1"/>
  <c r="AS44" i="7"/>
  <c r="G46" i="6"/>
  <c r="G48" i="6"/>
  <c r="G27" i="6"/>
  <c r="G29" i="6"/>
  <c r="G31" i="6"/>
  <c r="G35" i="6"/>
  <c r="G37" i="6"/>
  <c r="G41" i="6"/>
  <c r="A159" i="6"/>
  <c r="G23" i="6"/>
  <c r="I59" i="8"/>
  <c r="O59" i="8"/>
  <c r="T59" i="8"/>
  <c r="X59" i="8"/>
  <c r="AB59" i="8"/>
  <c r="AF59" i="8"/>
  <c r="G24" i="6"/>
  <c r="I59" i="7"/>
  <c r="O59" i="7"/>
  <c r="T59" i="7"/>
  <c r="F59" i="8"/>
  <c r="J59" i="8"/>
  <c r="P59" i="8"/>
  <c r="U59" i="8"/>
  <c r="Y59" i="8"/>
  <c r="AC59" i="8"/>
  <c r="AG59" i="8"/>
  <c r="G21" i="6"/>
  <c r="G47" i="6"/>
  <c r="X59" i="7"/>
  <c r="AB59" i="7"/>
  <c r="AI59" i="7"/>
  <c r="G25" i="6"/>
  <c r="G45" i="6"/>
  <c r="F59" i="7"/>
  <c r="J59" i="7"/>
  <c r="P59" i="7"/>
  <c r="U59" i="7"/>
  <c r="Y59" i="7"/>
  <c r="AC59" i="7"/>
  <c r="AJ59" i="7"/>
  <c r="G59" i="7"/>
  <c r="L59" i="7"/>
  <c r="Q59" i="7"/>
  <c r="V59" i="7"/>
  <c r="Z59" i="7"/>
  <c r="AF59" i="7"/>
  <c r="AK59" i="7"/>
  <c r="H59" i="8"/>
  <c r="N59" i="8"/>
  <c r="S59" i="8"/>
  <c r="W59" i="8"/>
  <c r="AA59" i="8"/>
  <c r="AE59" i="8"/>
  <c r="E60" i="8"/>
  <c r="G34" i="6"/>
  <c r="G36" i="6"/>
  <c r="G40" i="6"/>
  <c r="G42" i="6"/>
  <c r="G44" i="6"/>
  <c r="H59" i="7"/>
  <c r="N59" i="7"/>
  <c r="S59" i="7"/>
  <c r="W59" i="7"/>
  <c r="AA59" i="7"/>
  <c r="AH59" i="7"/>
  <c r="E60" i="7"/>
  <c r="G39" i="6"/>
  <c r="G43" i="6"/>
  <c r="G33" i="6"/>
  <c r="G20" i="6"/>
  <c r="G26" i="6"/>
  <c r="G28" i="6"/>
  <c r="G30" i="6"/>
  <c r="G32" i="6"/>
  <c r="G38" i="6"/>
  <c r="U45" i="8"/>
  <c r="G59" i="8"/>
  <c r="L59" i="8"/>
  <c r="Q59" i="8"/>
  <c r="V59" i="8"/>
  <c r="Z59" i="8"/>
  <c r="AD59" i="8"/>
  <c r="AH59" i="8"/>
  <c r="E59" i="8"/>
  <c r="AQ44" i="8"/>
  <c r="E45" i="8"/>
  <c r="E59" i="7"/>
  <c r="E45" i="7"/>
  <c r="AR45" i="7" s="1"/>
  <c r="D11" i="2"/>
  <c r="F37" i="3"/>
  <c r="F38" i="3"/>
  <c r="F39" i="3"/>
  <c r="F40" i="3"/>
  <c r="F41" i="3"/>
  <c r="F42" i="3"/>
  <c r="F43" i="3"/>
  <c r="F44" i="3"/>
  <c r="F45" i="3"/>
  <c r="F46" i="3"/>
  <c r="F47" i="3"/>
  <c r="F18" i="3"/>
  <c r="B19" i="3"/>
  <c r="B20" i="3"/>
  <c r="B21" i="3"/>
  <c r="B25" i="3"/>
  <c r="B26" i="3"/>
  <c r="B27" i="3"/>
  <c r="B28" i="3"/>
  <c r="B29" i="3"/>
  <c r="B30" i="3"/>
  <c r="B31" i="3"/>
  <c r="B32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18" i="3"/>
  <c r="B10" i="2"/>
  <c r="B11" i="2"/>
  <c r="B14" i="2"/>
  <c r="B9" i="2"/>
  <c r="AP20" i="4"/>
  <c r="AP29" i="4"/>
  <c r="AP31" i="4"/>
  <c r="AP33" i="4"/>
  <c r="G40" i="5" s="1"/>
  <c r="AP34" i="4"/>
  <c r="G41" i="5" s="1"/>
  <c r="G45" i="5"/>
  <c r="AR38" i="4"/>
  <c r="AP38" i="4" s="1"/>
  <c r="G46" i="5" s="1"/>
  <c r="AR39" i="4"/>
  <c r="AP39" i="4" s="1"/>
  <c r="G47" i="5" s="1"/>
  <c r="AR40" i="4"/>
  <c r="AP40" i="4" s="1"/>
  <c r="G48" i="5" s="1"/>
  <c r="AR41" i="4"/>
  <c r="AP41" i="4" s="1"/>
  <c r="G49" i="5" s="1"/>
  <c r="AR42" i="4"/>
  <c r="AP42" i="4" s="1"/>
  <c r="G50" i="5" s="1"/>
  <c r="AR43" i="4"/>
  <c r="AQ41" i="4"/>
  <c r="AQ40" i="4"/>
  <c r="AQ39" i="4"/>
  <c r="AQ38" i="4"/>
  <c r="AQ37" i="4"/>
  <c r="AQ33" i="4"/>
  <c r="AQ31" i="4"/>
  <c r="AQ29" i="4"/>
  <c r="AQ42" i="4"/>
  <c r="AQ36" i="4"/>
  <c r="G82" i="13" l="1"/>
  <c r="A101" i="13" s="1"/>
  <c r="A100" i="13" s="1"/>
  <c r="C98" i="13" s="1"/>
  <c r="G22" i="6"/>
  <c r="G83" i="6" s="1"/>
  <c r="AP37" i="4"/>
  <c r="G44" i="5" s="1"/>
  <c r="AP27" i="4"/>
  <c r="G34" i="5" s="1"/>
  <c r="AP28" i="4"/>
  <c r="G35" i="5" s="1"/>
  <c r="G38" i="5"/>
  <c r="G36" i="5"/>
  <c r="AO45" i="8"/>
  <c r="A90" i="13" l="1"/>
  <c r="C90" i="13" s="1"/>
  <c r="C91" i="13" s="1"/>
  <c r="E98" i="13"/>
  <c r="D98" i="13"/>
  <c r="A99" i="13" s="1"/>
  <c r="AR7" i="1"/>
  <c r="AR8" i="1"/>
  <c r="AR9" i="1"/>
  <c r="AR11" i="1"/>
  <c r="AR12" i="1"/>
  <c r="AR13" i="1"/>
  <c r="AR14" i="1"/>
  <c r="AR15" i="1"/>
  <c r="AR16" i="1"/>
  <c r="AR17" i="1"/>
  <c r="AR18" i="1"/>
  <c r="AR19" i="1"/>
  <c r="AR20" i="1"/>
  <c r="AR21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S7" i="1"/>
  <c r="AS8" i="1"/>
  <c r="AS9" i="1"/>
  <c r="AS11" i="1"/>
  <c r="AS12" i="1"/>
  <c r="AS13" i="1"/>
  <c r="AS14" i="1"/>
  <c r="AS15" i="1"/>
  <c r="AS16" i="1"/>
  <c r="AS17" i="1"/>
  <c r="AQ17" i="1" s="1"/>
  <c r="AS18" i="1"/>
  <c r="AS19" i="1"/>
  <c r="AS20" i="1"/>
  <c r="AS21" i="1"/>
  <c r="AS23" i="1"/>
  <c r="AS24" i="1"/>
  <c r="AQ22" i="1" s="1"/>
  <c r="AS25" i="1"/>
  <c r="AQ25" i="1" s="1"/>
  <c r="AS26" i="1"/>
  <c r="AQ26" i="1" s="1"/>
  <c r="AS27" i="1"/>
  <c r="AQ27" i="1" s="1"/>
  <c r="AS28" i="1"/>
  <c r="AQ28" i="1" s="1"/>
  <c r="AS29" i="1"/>
  <c r="AQ29" i="1" s="1"/>
  <c r="AS30" i="1"/>
  <c r="AQ30" i="1" s="1"/>
  <c r="AS31" i="1"/>
  <c r="AQ31" i="1" s="1"/>
  <c r="AS32" i="1"/>
  <c r="AQ32" i="1" s="1"/>
  <c r="AS33" i="1"/>
  <c r="AQ33" i="1" s="1"/>
  <c r="AS34" i="1"/>
  <c r="AQ34" i="1" s="1"/>
  <c r="AP12" i="4"/>
  <c r="G18" i="5"/>
  <c r="AP13" i="4"/>
  <c r="G20" i="5" s="1"/>
  <c r="AP14" i="4"/>
  <c r="G21" i="5" s="1"/>
  <c r="AP16" i="4"/>
  <c r="G23" i="5" s="1"/>
  <c r="AP17" i="4"/>
  <c r="G24" i="5" s="1"/>
  <c r="AP18" i="4"/>
  <c r="G25" i="5" s="1"/>
  <c r="AP19" i="4"/>
  <c r="G26" i="5" s="1"/>
  <c r="G27" i="5"/>
  <c r="G28" i="5"/>
  <c r="AP35" i="4"/>
  <c r="G42" i="5" s="1"/>
  <c r="AP43" i="4"/>
  <c r="G51" i="5" s="1"/>
  <c r="AQ12" i="4"/>
  <c r="AQ13" i="4"/>
  <c r="AQ14" i="4"/>
  <c r="AQ15" i="4"/>
  <c r="AQ16" i="4"/>
  <c r="AQ17" i="4"/>
  <c r="AQ18" i="4"/>
  <c r="AQ19" i="4"/>
  <c r="AQ20" i="4"/>
  <c r="AQ21" i="4"/>
  <c r="AQ23" i="4"/>
  <c r="AQ27" i="4"/>
  <c r="AQ28" i="4"/>
  <c r="AQ34" i="4"/>
  <c r="AQ35" i="4"/>
  <c r="AQ43" i="4"/>
  <c r="G19" i="5" l="1"/>
  <c r="E91" i="13"/>
  <c r="F91" i="13"/>
  <c r="D91" i="13"/>
  <c r="C92" i="13"/>
  <c r="E90" i="13"/>
  <c r="F90" i="13"/>
  <c r="D90" i="13"/>
  <c r="AQ24" i="1"/>
  <c r="AQ23" i="1"/>
  <c r="AQ8" i="1"/>
  <c r="AQ18" i="1"/>
  <c r="AQ14" i="1"/>
  <c r="AQ13" i="1"/>
  <c r="AQ21" i="1"/>
  <c r="AQ16" i="1"/>
  <c r="AQ12" i="1"/>
  <c r="AQ11" i="1"/>
  <c r="AQ7" i="1"/>
  <c r="AQ19" i="1"/>
  <c r="AQ15" i="1"/>
  <c r="AQ9" i="1"/>
  <c r="AQ20" i="1"/>
  <c r="E92" i="13" l="1"/>
  <c r="G92" i="13"/>
  <c r="H92" i="13"/>
  <c r="F92" i="13"/>
  <c r="C93" i="13"/>
  <c r="D92" i="13" s="1"/>
  <c r="AS35" i="1"/>
  <c r="AQ35" i="1" s="1"/>
  <c r="AS6" i="1"/>
  <c r="AR6" i="1"/>
  <c r="D93" i="13" l="1"/>
  <c r="E93" i="13"/>
  <c r="F93" i="13"/>
  <c r="C94" i="13"/>
  <c r="AQ6" i="1"/>
  <c r="G34" i="3" s="1"/>
  <c r="AP38" i="1"/>
  <c r="AQ5" i="1"/>
  <c r="E94" i="13" l="1"/>
  <c r="D94" i="13"/>
  <c r="C95" i="13"/>
  <c r="E9" i="2"/>
  <c r="D95" i="13" l="1"/>
  <c r="G95" i="13"/>
  <c r="H95" i="13"/>
  <c r="E95" i="13"/>
  <c r="C96" i="13"/>
  <c r="D10" i="2"/>
  <c r="D96" i="13" l="1"/>
  <c r="E96" i="13"/>
  <c r="I96" i="13"/>
  <c r="A97" i="13" l="1"/>
  <c r="B1" i="13" s="1"/>
  <c r="AO45" i="4" l="1"/>
  <c r="G84" i="5" l="1"/>
  <c r="D14" i="2"/>
  <c r="AN45" i="4" l="1"/>
  <c r="E14" i="2" l="1"/>
  <c r="F14" i="2" s="1"/>
  <c r="G21" i="3" s="1"/>
  <c r="AR35" i="1"/>
  <c r="AK38" i="1" l="1"/>
  <c r="AL38" i="1"/>
  <c r="AM38" i="1"/>
  <c r="AN38" i="1"/>
  <c r="AO38" i="1"/>
  <c r="T45" i="4"/>
  <c r="U45" i="4"/>
  <c r="V45" i="4"/>
  <c r="W45" i="4"/>
  <c r="X45" i="4"/>
  <c r="Y44" i="4"/>
  <c r="Z44" i="4"/>
  <c r="Z45" i="4" s="1"/>
  <c r="AA44" i="4"/>
  <c r="AA45" i="4" s="1"/>
  <c r="AB44" i="4"/>
  <c r="AB45" i="4" s="1"/>
  <c r="AC44" i="4"/>
  <c r="AC45" i="4" s="1"/>
  <c r="AD44" i="4"/>
  <c r="AD45" i="4" s="1"/>
  <c r="AF45" i="4"/>
  <c r="AH45" i="4"/>
  <c r="AI45" i="4"/>
  <c r="AJ45" i="4"/>
  <c r="AK45" i="4"/>
  <c r="AR44" i="4" l="1"/>
  <c r="Y45" i="4"/>
  <c r="AB38" i="1"/>
  <c r="AB6" i="7"/>
  <c r="AB6" i="8"/>
  <c r="AF38" i="1"/>
  <c r="AH6" i="7"/>
  <c r="AE6" i="8"/>
  <c r="AD38" i="1"/>
  <c r="AD6" i="8"/>
  <c r="AF6" i="7"/>
  <c r="Z38" i="1"/>
  <c r="Z6" i="8"/>
  <c r="Z6" i="7"/>
  <c r="AH38" i="1"/>
  <c r="AI6" i="7"/>
  <c r="AF6" i="8"/>
  <c r="AA38" i="1"/>
  <c r="AA6" i="8"/>
  <c r="AA6" i="7"/>
  <c r="AI38" i="1"/>
  <c r="AJ6" i="7"/>
  <c r="AG6" i="8"/>
  <c r="AC38" i="1"/>
  <c r="AC6" i="7"/>
  <c r="AC6" i="8"/>
  <c r="AJ38" i="1"/>
  <c r="AH6" i="8"/>
  <c r="AK6" i="7"/>
  <c r="W38" i="1"/>
  <c r="X6" i="7"/>
  <c r="X6" i="8"/>
  <c r="V38" i="1"/>
  <c r="W6" i="7"/>
  <c r="W6" i="8"/>
  <c r="U38" i="1"/>
  <c r="V6" i="7"/>
  <c r="V6" i="8"/>
  <c r="T38" i="1"/>
  <c r="U6" i="7"/>
  <c r="U6" i="8"/>
  <c r="S38" i="1"/>
  <c r="T6" i="7"/>
  <c r="T6" i="8"/>
  <c r="Y38" i="1"/>
  <c r="Y6" i="7"/>
  <c r="Y6" i="8"/>
  <c r="B80" i="5" l="1"/>
  <c r="B81" i="5"/>
  <c r="B82" i="5"/>
  <c r="B83" i="5"/>
  <c r="G41" i="3" l="1"/>
  <c r="G46" i="3" l="1"/>
  <c r="G37" i="3"/>
  <c r="G45" i="3" l="1"/>
  <c r="G36" i="3"/>
  <c r="G38" i="3"/>
  <c r="G39" i="3"/>
  <c r="G40" i="3"/>
  <c r="G47" i="3" l="1"/>
  <c r="M45" i="4"/>
  <c r="L38" i="1"/>
  <c r="N43" i="1"/>
  <c r="N44" i="1"/>
  <c r="N45" i="1"/>
  <c r="N46" i="1"/>
  <c r="O4" i="12" l="1"/>
  <c r="O4" i="11"/>
  <c r="O1" i="12"/>
  <c r="O1" i="11"/>
  <c r="O3" i="12"/>
  <c r="O3" i="11"/>
  <c r="O2" i="11"/>
  <c r="O2" i="12"/>
  <c r="O2" i="8"/>
  <c r="O2" i="7"/>
  <c r="O1" i="7"/>
  <c r="O1" i="8"/>
  <c r="O4" i="8"/>
  <c r="O4" i="7"/>
  <c r="O3" i="8"/>
  <c r="O3" i="7"/>
  <c r="N38" i="1"/>
  <c r="O6" i="8"/>
  <c r="O6" i="7"/>
  <c r="N47" i="1"/>
  <c r="O5" i="11" l="1"/>
  <c r="O5" i="12"/>
  <c r="O5" i="8"/>
  <c r="O5" i="7"/>
  <c r="AP44" i="4" l="1"/>
  <c r="E45" i="4" l="1"/>
  <c r="D43" i="1" l="1"/>
  <c r="E1" i="12" l="1"/>
  <c r="E1" i="11"/>
  <c r="E6" i="8"/>
  <c r="E6" i="7"/>
  <c r="E1" i="8"/>
  <c r="E1" i="7"/>
  <c r="E6" i="4"/>
  <c r="AH43" i="1" l="1"/>
  <c r="AI43" i="1"/>
  <c r="AJ43" i="1"/>
  <c r="AH44" i="1"/>
  <c r="AI44" i="1"/>
  <c r="AJ44" i="1"/>
  <c r="AH45" i="1"/>
  <c r="AI45" i="1"/>
  <c r="AJ45" i="1"/>
  <c r="AH46" i="1"/>
  <c r="AI46" i="1"/>
  <c r="AJ46" i="1"/>
  <c r="AG55" i="4"/>
  <c r="AH55" i="4"/>
  <c r="AI55" i="4"/>
  <c r="AG56" i="4"/>
  <c r="AH56" i="4"/>
  <c r="AI56" i="4"/>
  <c r="AG58" i="4"/>
  <c r="AH58" i="4"/>
  <c r="AI58" i="4"/>
  <c r="AB44" i="1"/>
  <c r="AB43" i="1"/>
  <c r="AL2" i="11" l="1"/>
  <c r="AI2" i="12"/>
  <c r="AK1" i="11"/>
  <c r="AH1" i="12"/>
  <c r="AI3" i="12"/>
  <c r="AL3" i="11"/>
  <c r="AH2" i="12"/>
  <c r="AK2" i="11"/>
  <c r="AG1" i="12"/>
  <c r="AJ1" i="11"/>
  <c r="AC2" i="11"/>
  <c r="AB2" i="12"/>
  <c r="AG2" i="12"/>
  <c r="AJ2" i="11"/>
  <c r="AG4" i="12"/>
  <c r="AJ4" i="11"/>
  <c r="AI4" i="12"/>
  <c r="AL4" i="11"/>
  <c r="AK3" i="11"/>
  <c r="AH3" i="12"/>
  <c r="AB1" i="12"/>
  <c r="AC1" i="11"/>
  <c r="AK4" i="11"/>
  <c r="AH4" i="12"/>
  <c r="AG3" i="12"/>
  <c r="AJ3" i="11"/>
  <c r="AI1" i="12"/>
  <c r="AL1" i="11"/>
  <c r="AB2" i="8"/>
  <c r="AB2" i="7"/>
  <c r="AI4" i="7"/>
  <c r="AF4" i="8"/>
  <c r="AJ1" i="7"/>
  <c r="AG1" i="8"/>
  <c r="AG2" i="8"/>
  <c r="AJ2" i="7"/>
  <c r="AF1" i="8"/>
  <c r="AI1" i="7"/>
  <c r="AH3" i="4"/>
  <c r="AG3" i="8"/>
  <c r="AJ3" i="7"/>
  <c r="AF2" i="8"/>
  <c r="AI2" i="7"/>
  <c r="AB1" i="8"/>
  <c r="AB1" i="7"/>
  <c r="AG4" i="8"/>
  <c r="AJ4" i="7"/>
  <c r="AG3" i="4"/>
  <c r="AF3" i="8"/>
  <c r="AI3" i="7"/>
  <c r="AK4" i="7"/>
  <c r="AH4" i="8"/>
  <c r="AH2" i="8"/>
  <c r="AK2" i="7"/>
  <c r="AK1" i="7"/>
  <c r="AH1" i="8"/>
  <c r="AI3" i="4"/>
  <c r="AH3" i="8"/>
  <c r="AK3" i="7"/>
  <c r="AG2" i="4"/>
  <c r="AG4" i="4"/>
  <c r="AI4" i="4"/>
  <c r="AH4" i="4"/>
  <c r="AG59" i="4"/>
  <c r="AJ47" i="1"/>
  <c r="AI2" i="4"/>
  <c r="AH59" i="4"/>
  <c r="AH1" i="4"/>
  <c r="AI47" i="1"/>
  <c r="AH47" i="1"/>
  <c r="AI1" i="4"/>
  <c r="AH2" i="4"/>
  <c r="AG1" i="4"/>
  <c r="AI59" i="4"/>
  <c r="AI5" i="12" l="1"/>
  <c r="AC5" i="11"/>
  <c r="AB5" i="12"/>
  <c r="AL5" i="11"/>
  <c r="AH5" i="12"/>
  <c r="AK5" i="11"/>
  <c r="AJ5" i="11"/>
  <c r="AG5" i="12"/>
  <c r="AB5" i="8"/>
  <c r="AB5" i="7"/>
  <c r="AI5" i="7"/>
  <c r="AG5" i="8"/>
  <c r="AF5" i="8"/>
  <c r="AJ5" i="7"/>
  <c r="AH5" i="8"/>
  <c r="AK5" i="7"/>
  <c r="AG5" i="4"/>
  <c r="AI5" i="4"/>
  <c r="AH5" i="4"/>
  <c r="D9" i="2" l="1"/>
  <c r="D39" i="2" s="1"/>
  <c r="Q55" i="4" l="1"/>
  <c r="AD55" i="4" l="1"/>
  <c r="AF55" i="4"/>
  <c r="AC55" i="4"/>
  <c r="AB55" i="4"/>
  <c r="Z56" i="4" l="1"/>
  <c r="AA56" i="4"/>
  <c r="AB56" i="4"/>
  <c r="AC56" i="4"/>
  <c r="AD56" i="4"/>
  <c r="AF56" i="4"/>
  <c r="X56" i="4"/>
  <c r="Y56" i="4"/>
  <c r="I55" i="4" l="1"/>
  <c r="J55" i="4"/>
  <c r="L55" i="4"/>
  <c r="N55" i="4"/>
  <c r="O55" i="4"/>
  <c r="P55" i="4"/>
  <c r="S55" i="4"/>
  <c r="T55" i="4"/>
  <c r="U55" i="4"/>
  <c r="V55" i="4"/>
  <c r="W55" i="4"/>
  <c r="X55" i="4"/>
  <c r="Y55" i="4"/>
  <c r="Z55" i="4"/>
  <c r="AA55" i="4"/>
  <c r="I56" i="4"/>
  <c r="J56" i="4"/>
  <c r="L56" i="4"/>
  <c r="N56" i="4"/>
  <c r="O56" i="4"/>
  <c r="P56" i="4"/>
  <c r="Q56" i="4"/>
  <c r="S56" i="4"/>
  <c r="T56" i="4"/>
  <c r="U56" i="4"/>
  <c r="V56" i="4"/>
  <c r="W56" i="4"/>
  <c r="I58" i="4"/>
  <c r="J58" i="4"/>
  <c r="L58" i="4"/>
  <c r="N58" i="4"/>
  <c r="O58" i="4"/>
  <c r="P58" i="4"/>
  <c r="Q58" i="4"/>
  <c r="S58" i="4"/>
  <c r="T58" i="4"/>
  <c r="U58" i="4"/>
  <c r="V58" i="4"/>
  <c r="W58" i="4"/>
  <c r="X58" i="4"/>
  <c r="Y58" i="4"/>
  <c r="Z58" i="4"/>
  <c r="AA58" i="4"/>
  <c r="AB58" i="4"/>
  <c r="AC58" i="4"/>
  <c r="AD58" i="4"/>
  <c r="AF58" i="4"/>
  <c r="E56" i="4"/>
  <c r="E1" i="4" s="1"/>
  <c r="F55" i="4"/>
  <c r="G55" i="4"/>
  <c r="E57" i="4"/>
  <c r="F56" i="4"/>
  <c r="G56" i="4"/>
  <c r="E59" i="4"/>
  <c r="F58" i="4"/>
  <c r="G58" i="4"/>
  <c r="H55" i="4"/>
  <c r="H56" i="4"/>
  <c r="H58" i="4"/>
  <c r="E43" i="1"/>
  <c r="F43" i="1"/>
  <c r="D44" i="1"/>
  <c r="E44" i="1"/>
  <c r="F44" i="1"/>
  <c r="D45" i="1"/>
  <c r="E45" i="1"/>
  <c r="F45" i="1"/>
  <c r="D46" i="1"/>
  <c r="E46" i="1"/>
  <c r="F46" i="1"/>
  <c r="H43" i="1"/>
  <c r="I43" i="1"/>
  <c r="K43" i="1"/>
  <c r="M43" i="1"/>
  <c r="O43" i="1"/>
  <c r="P43" i="1"/>
  <c r="R43" i="1"/>
  <c r="S43" i="1"/>
  <c r="T43" i="1"/>
  <c r="U43" i="1"/>
  <c r="V43" i="1"/>
  <c r="W43" i="1"/>
  <c r="Y43" i="1"/>
  <c r="Z43" i="1"/>
  <c r="AA43" i="1"/>
  <c r="AB1" i="4"/>
  <c r="AC43" i="1"/>
  <c r="AD43" i="1"/>
  <c r="AF43" i="1"/>
  <c r="H44" i="1"/>
  <c r="I44" i="1"/>
  <c r="K44" i="1"/>
  <c r="M44" i="1"/>
  <c r="O44" i="1"/>
  <c r="P44" i="1"/>
  <c r="R44" i="1"/>
  <c r="S44" i="1"/>
  <c r="T44" i="1"/>
  <c r="U44" i="1"/>
  <c r="V44" i="1"/>
  <c r="W44" i="1"/>
  <c r="Y44" i="1"/>
  <c r="Z44" i="1"/>
  <c r="AA44" i="1"/>
  <c r="AC44" i="1"/>
  <c r="AD44" i="1"/>
  <c r="AF44" i="1"/>
  <c r="H45" i="1"/>
  <c r="I45" i="1"/>
  <c r="K45" i="1"/>
  <c r="M45" i="1"/>
  <c r="O45" i="1"/>
  <c r="P45" i="1"/>
  <c r="R45" i="1"/>
  <c r="S45" i="1"/>
  <c r="T45" i="1"/>
  <c r="U45" i="1"/>
  <c r="V45" i="1"/>
  <c r="W45" i="1"/>
  <c r="Y45" i="1"/>
  <c r="Z45" i="1"/>
  <c r="AA45" i="1"/>
  <c r="AB45" i="1"/>
  <c r="AC45" i="1"/>
  <c r="AD45" i="1"/>
  <c r="AF45" i="1"/>
  <c r="H46" i="1"/>
  <c r="I46" i="1"/>
  <c r="K46" i="1"/>
  <c r="M46" i="1"/>
  <c r="O46" i="1"/>
  <c r="P46" i="1"/>
  <c r="R46" i="1"/>
  <c r="S46" i="1"/>
  <c r="T46" i="1"/>
  <c r="U46" i="1"/>
  <c r="V46" i="1"/>
  <c r="W46" i="1"/>
  <c r="Y46" i="1"/>
  <c r="Z46" i="1"/>
  <c r="AA46" i="1"/>
  <c r="AB46" i="1"/>
  <c r="AC46" i="1"/>
  <c r="AD46" i="1"/>
  <c r="AF46" i="1"/>
  <c r="G43" i="1"/>
  <c r="G44" i="1"/>
  <c r="G45" i="1"/>
  <c r="G46" i="1"/>
  <c r="V4" i="11" l="1"/>
  <c r="V4" i="12"/>
  <c r="J4" i="12"/>
  <c r="J4" i="11"/>
  <c r="AC3" i="12"/>
  <c r="AD3" i="11"/>
  <c r="Z3" i="11"/>
  <c r="Y3" i="12"/>
  <c r="U3" i="11"/>
  <c r="U3" i="12"/>
  <c r="I3" i="12"/>
  <c r="I3" i="11"/>
  <c r="AA2" i="12"/>
  <c r="AB2" i="11"/>
  <c r="W2" i="12"/>
  <c r="W2" i="11"/>
  <c r="S2" i="12"/>
  <c r="S2" i="11"/>
  <c r="L2" i="12"/>
  <c r="L2" i="11"/>
  <c r="AD1" i="12"/>
  <c r="AG1" i="11"/>
  <c r="Z1" i="12"/>
  <c r="AA1" i="11"/>
  <c r="V1" i="12"/>
  <c r="V1" i="11"/>
  <c r="Q1" i="12"/>
  <c r="Q1" i="11"/>
  <c r="J1" i="11"/>
  <c r="J1" i="12"/>
  <c r="E4" i="12"/>
  <c r="E4" i="11"/>
  <c r="G2" i="11"/>
  <c r="G2" i="12"/>
  <c r="F1" i="11"/>
  <c r="F1" i="12"/>
  <c r="H3" i="12"/>
  <c r="H3" i="11"/>
  <c r="Q4" i="12"/>
  <c r="Q4" i="11"/>
  <c r="P3" i="12"/>
  <c r="P3" i="11"/>
  <c r="H2" i="12"/>
  <c r="H2" i="11"/>
  <c r="AC4" i="12"/>
  <c r="AD4" i="11"/>
  <c r="Z4" i="11"/>
  <c r="Y4" i="12"/>
  <c r="U4" i="12"/>
  <c r="U4" i="11"/>
  <c r="P4" i="11"/>
  <c r="P4" i="12"/>
  <c r="I4" i="12"/>
  <c r="I4" i="11"/>
  <c r="AB3" i="12"/>
  <c r="AC3" i="11"/>
  <c r="X3" i="12"/>
  <c r="X3" i="11"/>
  <c r="T3" i="12"/>
  <c r="T3" i="11"/>
  <c r="N3" i="12"/>
  <c r="N3" i="11"/>
  <c r="AF2" i="12"/>
  <c r="AI2" i="11"/>
  <c r="Z2" i="12"/>
  <c r="AA2" i="11"/>
  <c r="V2" i="11"/>
  <c r="V2" i="12"/>
  <c r="Q2" i="11"/>
  <c r="Q2" i="12"/>
  <c r="J2" i="12"/>
  <c r="J2" i="11"/>
  <c r="AD1" i="11"/>
  <c r="AC1" i="12"/>
  <c r="Z1" i="11"/>
  <c r="Y1" i="12"/>
  <c r="U1" i="11"/>
  <c r="U1" i="12"/>
  <c r="P1" i="11"/>
  <c r="P1" i="12"/>
  <c r="I1" i="12"/>
  <c r="I1" i="11"/>
  <c r="G3" i="12"/>
  <c r="G3" i="11"/>
  <c r="F2" i="12"/>
  <c r="F2" i="11"/>
  <c r="AD4" i="12"/>
  <c r="AG4" i="11"/>
  <c r="AB4" i="12"/>
  <c r="AC4" i="11"/>
  <c r="X4" i="12"/>
  <c r="X4" i="11"/>
  <c r="T4" i="11"/>
  <c r="T4" i="12"/>
  <c r="N4" i="12"/>
  <c r="N4" i="11"/>
  <c r="AI3" i="11"/>
  <c r="AF3" i="12"/>
  <c r="AA3" i="12"/>
  <c r="AB3" i="11"/>
  <c r="W3" i="11"/>
  <c r="W3" i="12"/>
  <c r="S3" i="11"/>
  <c r="S3" i="12"/>
  <c r="L3" i="12"/>
  <c r="L3" i="11"/>
  <c r="AG2" i="11"/>
  <c r="AD2" i="12"/>
  <c r="Y2" i="12"/>
  <c r="Z2" i="11"/>
  <c r="U2" i="12"/>
  <c r="U2" i="11"/>
  <c r="P2" i="12"/>
  <c r="P2" i="11"/>
  <c r="I2" i="12"/>
  <c r="I2" i="11"/>
  <c r="X1" i="12"/>
  <c r="X1" i="11"/>
  <c r="T1" i="12"/>
  <c r="T1" i="11"/>
  <c r="N1" i="11"/>
  <c r="N1" i="12"/>
  <c r="G4" i="12"/>
  <c r="G4" i="11"/>
  <c r="F3" i="11"/>
  <c r="F3" i="12"/>
  <c r="E2" i="11"/>
  <c r="E5" i="11" s="1"/>
  <c r="E2" i="12"/>
  <c r="E5" i="12" s="1"/>
  <c r="Z4" i="12"/>
  <c r="AA4" i="11"/>
  <c r="H1" i="11"/>
  <c r="H1" i="12"/>
  <c r="H4" i="11"/>
  <c r="H4" i="12"/>
  <c r="AF4" i="12"/>
  <c r="AI4" i="11"/>
  <c r="AB4" i="11"/>
  <c r="AA4" i="12"/>
  <c r="W4" i="12"/>
  <c r="W4" i="11"/>
  <c r="S4" i="11"/>
  <c r="S4" i="12"/>
  <c r="L4" i="12"/>
  <c r="L4" i="11"/>
  <c r="AD3" i="12"/>
  <c r="AG3" i="11"/>
  <c r="Z3" i="12"/>
  <c r="AA3" i="11"/>
  <c r="V3" i="12"/>
  <c r="V3" i="11"/>
  <c r="Q3" i="12"/>
  <c r="Q3" i="11"/>
  <c r="J3" i="11"/>
  <c r="J3" i="12"/>
  <c r="AC2" i="12"/>
  <c r="AD2" i="11"/>
  <c r="X2" i="12"/>
  <c r="X2" i="11"/>
  <c r="T2" i="11"/>
  <c r="T2" i="12"/>
  <c r="N2" i="12"/>
  <c r="N2" i="11"/>
  <c r="AI1" i="11"/>
  <c r="AF1" i="12"/>
  <c r="AA1" i="12"/>
  <c r="AA5" i="12" s="1"/>
  <c r="AB1" i="11"/>
  <c r="AB5" i="11" s="1"/>
  <c r="W1" i="11"/>
  <c r="W1" i="12"/>
  <c r="S1" i="12"/>
  <c r="S5" i="12" s="1"/>
  <c r="S1" i="11"/>
  <c r="S5" i="11" s="1"/>
  <c r="L1" i="12"/>
  <c r="L5" i="12" s="1"/>
  <c r="L1" i="11"/>
  <c r="L5" i="11" s="1"/>
  <c r="F4" i="11"/>
  <c r="F4" i="12"/>
  <c r="E3" i="12"/>
  <c r="E3" i="11"/>
  <c r="G1" i="12"/>
  <c r="G1" i="11"/>
  <c r="AD4" i="8"/>
  <c r="AF4" i="7"/>
  <c r="Z4" i="8"/>
  <c r="Z4" i="7"/>
  <c r="AC3" i="8"/>
  <c r="AC3" i="7"/>
  <c r="AA2" i="8"/>
  <c r="AA2" i="7"/>
  <c r="L2" i="8"/>
  <c r="L2" i="7"/>
  <c r="Z1" i="8"/>
  <c r="Z1" i="7"/>
  <c r="E4" i="7"/>
  <c r="E4" i="8"/>
  <c r="F1" i="7"/>
  <c r="F1" i="8"/>
  <c r="AC4" i="8"/>
  <c r="AC4" i="7"/>
  <c r="Z2" i="7"/>
  <c r="Z2" i="8"/>
  <c r="AC1" i="4"/>
  <c r="AC1" i="8"/>
  <c r="AC1" i="7"/>
  <c r="I1" i="7"/>
  <c r="I1" i="8"/>
  <c r="F2" i="8"/>
  <c r="F2" i="7"/>
  <c r="AB4" i="7"/>
  <c r="AB4" i="8"/>
  <c r="AE3" i="8"/>
  <c r="AH3" i="7"/>
  <c r="AA3" i="8"/>
  <c r="AA3" i="7"/>
  <c r="AF2" i="7"/>
  <c r="AD2" i="8"/>
  <c r="U2" i="8"/>
  <c r="U2" i="7"/>
  <c r="I2" i="8"/>
  <c r="I2" i="7"/>
  <c r="X1" i="8"/>
  <c r="X1" i="7"/>
  <c r="N1" i="7"/>
  <c r="N1" i="8"/>
  <c r="E2" i="7"/>
  <c r="E5" i="7" s="1"/>
  <c r="E2" i="8"/>
  <c r="E5" i="8" s="1"/>
  <c r="I3" i="8"/>
  <c r="I3" i="7"/>
  <c r="AD1" i="8"/>
  <c r="AF1" i="7"/>
  <c r="G2" i="7"/>
  <c r="G2" i="8"/>
  <c r="H2" i="7"/>
  <c r="H2" i="8"/>
  <c r="AB3" i="8"/>
  <c r="AB3" i="7"/>
  <c r="AE2" i="8"/>
  <c r="AH2" i="7"/>
  <c r="H1" i="7"/>
  <c r="H1" i="8"/>
  <c r="AH4" i="7"/>
  <c r="AE4" i="8"/>
  <c r="AA4" i="7"/>
  <c r="AA4" i="8"/>
  <c r="AD3" i="8"/>
  <c r="AF3" i="7"/>
  <c r="Z3" i="8"/>
  <c r="Z3" i="7"/>
  <c r="AC2" i="4"/>
  <c r="AC2" i="8"/>
  <c r="AC2" i="7"/>
  <c r="AH1" i="7"/>
  <c r="AE1" i="8"/>
  <c r="AA1" i="8"/>
  <c r="AA1" i="7"/>
  <c r="L1" i="7"/>
  <c r="L1" i="8"/>
  <c r="E3" i="4"/>
  <c r="E3" i="8"/>
  <c r="E3" i="7"/>
  <c r="G1" i="7"/>
  <c r="G1" i="8"/>
  <c r="H3" i="7"/>
  <c r="H3" i="8"/>
  <c r="G4" i="8"/>
  <c r="G4" i="7"/>
  <c r="G3" i="7"/>
  <c r="G3" i="8"/>
  <c r="F3" i="8"/>
  <c r="F3" i="7"/>
  <c r="Y1" i="7"/>
  <c r="Y1" i="8"/>
  <c r="V3" i="8"/>
  <c r="V3" i="7"/>
  <c r="V1" i="8"/>
  <c r="V1" i="7"/>
  <c r="U1" i="8"/>
  <c r="U1" i="7"/>
  <c r="U5" i="7" s="1"/>
  <c r="T1" i="7"/>
  <c r="T1" i="8"/>
  <c r="S1" i="8"/>
  <c r="S1" i="7"/>
  <c r="S2" i="8"/>
  <c r="S2" i="7"/>
  <c r="P1" i="7"/>
  <c r="P1" i="8"/>
  <c r="Q2" i="8"/>
  <c r="Q2" i="7"/>
  <c r="P2" i="7"/>
  <c r="P2" i="8"/>
  <c r="N2" i="8"/>
  <c r="N2" i="7"/>
  <c r="J2" i="8"/>
  <c r="J2" i="7"/>
  <c r="H4" i="8"/>
  <c r="H4" i="7"/>
  <c r="F4" i="7"/>
  <c r="F4" i="8"/>
  <c r="Y2" i="4"/>
  <c r="Y2" i="8"/>
  <c r="Y2" i="7"/>
  <c r="Y3" i="8"/>
  <c r="Y3" i="7"/>
  <c r="X4" i="8"/>
  <c r="X4" i="7"/>
  <c r="X3" i="8"/>
  <c r="X3" i="7"/>
  <c r="X2" i="8"/>
  <c r="X2" i="7"/>
  <c r="W3" i="8"/>
  <c r="W3" i="7"/>
  <c r="W1" i="8"/>
  <c r="W1" i="7"/>
  <c r="W4" i="8"/>
  <c r="W4" i="7"/>
  <c r="W2" i="7"/>
  <c r="W2" i="8"/>
  <c r="V2" i="8"/>
  <c r="V2" i="7"/>
  <c r="V4" i="8"/>
  <c r="V4" i="7"/>
  <c r="U3" i="8"/>
  <c r="U3" i="7"/>
  <c r="U4" i="8"/>
  <c r="U4" i="7"/>
  <c r="T3" i="8"/>
  <c r="T3" i="7"/>
  <c r="T2" i="8"/>
  <c r="T2" i="7"/>
  <c r="T4" i="7"/>
  <c r="T4" i="8"/>
  <c r="S3" i="8"/>
  <c r="S3" i="7"/>
  <c r="S4" i="7"/>
  <c r="S4" i="8"/>
  <c r="Q3" i="8"/>
  <c r="Q3" i="7"/>
  <c r="Q1" i="7"/>
  <c r="Q1" i="8"/>
  <c r="Q4" i="8"/>
  <c r="Q4" i="7"/>
  <c r="P4" i="8"/>
  <c r="P4" i="7"/>
  <c r="I4" i="8"/>
  <c r="I4" i="7"/>
  <c r="P3" i="8"/>
  <c r="P3" i="7"/>
  <c r="N3" i="8"/>
  <c r="N3" i="7"/>
  <c r="N4" i="8"/>
  <c r="N4" i="7"/>
  <c r="L3" i="7"/>
  <c r="L3" i="8"/>
  <c r="L4" i="7"/>
  <c r="L4" i="8"/>
  <c r="J4" i="8"/>
  <c r="J4" i="7"/>
  <c r="J3" i="4"/>
  <c r="J3" i="7"/>
  <c r="J3" i="8"/>
  <c r="J1" i="8"/>
  <c r="J1" i="7"/>
  <c r="Y4" i="8"/>
  <c r="Y4" i="7"/>
  <c r="D47" i="1"/>
  <c r="J1" i="4"/>
  <c r="J4" i="4"/>
  <c r="AF47" i="1"/>
  <c r="AA47" i="1"/>
  <c r="M47" i="1"/>
  <c r="P47" i="1"/>
  <c r="O47" i="1"/>
  <c r="H47" i="1"/>
  <c r="AB47" i="1"/>
  <c r="T47" i="1"/>
  <c r="F47" i="1"/>
  <c r="E47" i="1"/>
  <c r="T3" i="4"/>
  <c r="I3" i="4"/>
  <c r="U2" i="4"/>
  <c r="P2" i="4"/>
  <c r="J2" i="4"/>
  <c r="U1" i="4"/>
  <c r="P1" i="4"/>
  <c r="O2" i="4"/>
  <c r="I2" i="4"/>
  <c r="O1" i="4"/>
  <c r="G47" i="1"/>
  <c r="AD47" i="1"/>
  <c r="AC47" i="1"/>
  <c r="Z47" i="1"/>
  <c r="Y47" i="1"/>
  <c r="Y1" i="4"/>
  <c r="W47" i="1"/>
  <c r="X1" i="4"/>
  <c r="AB2" i="4"/>
  <c r="X2" i="4"/>
  <c r="V47" i="1"/>
  <c r="U47" i="1"/>
  <c r="T2" i="4"/>
  <c r="S47" i="1"/>
  <c r="H3" i="4"/>
  <c r="F4" i="4"/>
  <c r="G1" i="4"/>
  <c r="AD3" i="4"/>
  <c r="Z3" i="4"/>
  <c r="V3" i="4"/>
  <c r="Q3" i="4"/>
  <c r="L3" i="4"/>
  <c r="AD2" i="4"/>
  <c r="V2" i="4"/>
  <c r="L2" i="4"/>
  <c r="Z1" i="4"/>
  <c r="Q1" i="4"/>
  <c r="H2" i="4"/>
  <c r="E4" i="4"/>
  <c r="G2" i="4"/>
  <c r="F1" i="4"/>
  <c r="H1" i="4"/>
  <c r="G3" i="4"/>
  <c r="F2" i="4"/>
  <c r="AB3" i="4"/>
  <c r="X3" i="4"/>
  <c r="O3" i="4"/>
  <c r="H4" i="4"/>
  <c r="G4" i="4"/>
  <c r="F3" i="4"/>
  <c r="E2" i="4"/>
  <c r="AF2" i="4"/>
  <c r="AA2" i="4"/>
  <c r="W2" i="4"/>
  <c r="N2" i="4"/>
  <c r="AF1" i="4"/>
  <c r="AA1" i="4"/>
  <c r="W1" i="4"/>
  <c r="S1" i="4"/>
  <c r="N1" i="4"/>
  <c r="R47" i="1"/>
  <c r="S2" i="4"/>
  <c r="Z59" i="4"/>
  <c r="AD59" i="4"/>
  <c r="V59" i="4"/>
  <c r="AB59" i="4"/>
  <c r="AC3" i="4"/>
  <c r="Y3" i="4"/>
  <c r="U3" i="4"/>
  <c r="AF3" i="4"/>
  <c r="AA3" i="4"/>
  <c r="W3" i="4"/>
  <c r="S3" i="4"/>
  <c r="Q59" i="4"/>
  <c r="T59" i="4"/>
  <c r="P3" i="4"/>
  <c r="N3" i="4"/>
  <c r="K47" i="1"/>
  <c r="I47" i="1"/>
  <c r="W4" i="4"/>
  <c r="Z4" i="4"/>
  <c r="L4" i="4"/>
  <c r="AC4" i="4"/>
  <c r="Y4" i="4"/>
  <c r="U4" i="4"/>
  <c r="P4" i="4"/>
  <c r="AA4" i="4"/>
  <c r="V4" i="4"/>
  <c r="Q4" i="4"/>
  <c r="AB4" i="4"/>
  <c r="X4" i="4"/>
  <c r="T4" i="4"/>
  <c r="O4" i="4"/>
  <c r="AF4" i="4"/>
  <c r="S4" i="4"/>
  <c r="N4" i="4"/>
  <c r="AD4" i="4"/>
  <c r="L59" i="4"/>
  <c r="I4" i="4"/>
  <c r="I59" i="4"/>
  <c r="G59" i="4"/>
  <c r="X59" i="4"/>
  <c r="O59" i="4"/>
  <c r="E60" i="4"/>
  <c r="AD1" i="4"/>
  <c r="V1" i="4"/>
  <c r="L1" i="4"/>
  <c r="T1" i="4"/>
  <c r="I1" i="4"/>
  <c r="Z2" i="4"/>
  <c r="Q2" i="4"/>
  <c r="F59" i="4"/>
  <c r="AF59" i="4"/>
  <c r="AA59" i="4"/>
  <c r="W59" i="4"/>
  <c r="S59" i="4"/>
  <c r="N59" i="4"/>
  <c r="H59" i="4"/>
  <c r="AC59" i="4"/>
  <c r="Y59" i="4"/>
  <c r="U59" i="4"/>
  <c r="P59" i="4"/>
  <c r="J59" i="4"/>
  <c r="G5" i="11" l="1"/>
  <c r="W5" i="12"/>
  <c r="G5" i="12"/>
  <c r="AF5" i="12"/>
  <c r="H5" i="12"/>
  <c r="J5" i="11"/>
  <c r="AI5" i="11"/>
  <c r="W5" i="11"/>
  <c r="V5" i="12"/>
  <c r="U5" i="11"/>
  <c r="N5" i="11"/>
  <c r="H5" i="11"/>
  <c r="T5" i="11"/>
  <c r="P5" i="12"/>
  <c r="Y5" i="12"/>
  <c r="F5" i="12"/>
  <c r="Q5" i="11"/>
  <c r="AA5" i="11"/>
  <c r="T5" i="12"/>
  <c r="P5" i="11"/>
  <c r="Z5" i="11"/>
  <c r="F5" i="11"/>
  <c r="Q5" i="12"/>
  <c r="Z5" i="12"/>
  <c r="N5" i="12"/>
  <c r="X5" i="11"/>
  <c r="I5" i="11"/>
  <c r="U5" i="12"/>
  <c r="AC5" i="12"/>
  <c r="J5" i="12"/>
  <c r="V5" i="11"/>
  <c r="AG5" i="11"/>
  <c r="X5" i="12"/>
  <c r="I5" i="12"/>
  <c r="AD5" i="11"/>
  <c r="AD5" i="12"/>
  <c r="P5" i="8"/>
  <c r="J5" i="7"/>
  <c r="U5" i="8"/>
  <c r="N5" i="7"/>
  <c r="AE5" i="8"/>
  <c r="Q5" i="8"/>
  <c r="AD5" i="8"/>
  <c r="J5" i="8"/>
  <c r="L5" i="7"/>
  <c r="T5" i="8"/>
  <c r="AH5" i="7"/>
  <c r="Y5" i="8"/>
  <c r="L5" i="8"/>
  <c r="H5" i="8"/>
  <c r="G5" i="7"/>
  <c r="F5" i="8"/>
  <c r="AC5" i="7"/>
  <c r="X5" i="7"/>
  <c r="I5" i="7"/>
  <c r="Z5" i="7"/>
  <c r="X5" i="8"/>
  <c r="Z5" i="8"/>
  <c r="N5" i="8"/>
  <c r="S5" i="8"/>
  <c r="AA5" i="7"/>
  <c r="H5" i="7"/>
  <c r="AC5" i="8"/>
  <c r="F5" i="7"/>
  <c r="G5" i="8"/>
  <c r="AA5" i="8"/>
  <c r="AF5" i="7"/>
  <c r="I5" i="8"/>
  <c r="T5" i="7"/>
  <c r="Y5" i="7"/>
  <c r="V5" i="7"/>
  <c r="V5" i="8"/>
  <c r="S5" i="7"/>
  <c r="P5" i="7"/>
  <c r="Q5" i="7"/>
  <c r="W5" i="8"/>
  <c r="W5" i="7"/>
  <c r="V5" i="4"/>
  <c r="J5" i="4"/>
  <c r="AB5" i="4"/>
  <c r="F5" i="4"/>
  <c r="E5" i="4"/>
  <c r="AC5" i="4"/>
  <c r="Y5" i="4"/>
  <c r="X5" i="4"/>
  <c r="AA5" i="4"/>
  <c r="AF5" i="4"/>
  <c r="H5" i="4"/>
  <c r="G5" i="4"/>
  <c r="O5" i="4"/>
  <c r="N5" i="4"/>
  <c r="W5" i="4"/>
  <c r="S5" i="4"/>
  <c r="L5" i="4"/>
  <c r="AD5" i="4"/>
  <c r="Z5" i="4"/>
  <c r="P5" i="4"/>
  <c r="U5" i="4"/>
  <c r="Q5" i="4"/>
  <c r="T5" i="4"/>
  <c r="I5" i="4"/>
  <c r="A164" i="5" l="1"/>
  <c r="A163" i="5" s="1"/>
  <c r="A162" i="5"/>
  <c r="C158" i="5"/>
  <c r="C155" i="5"/>
  <c r="A153" i="5"/>
  <c r="A160" i="5" l="1"/>
  <c r="AP50" i="4"/>
  <c r="A128" i="3"/>
  <c r="A127" i="3" s="1"/>
  <c r="A126" i="3"/>
  <c r="C122" i="3"/>
  <c r="C119" i="3"/>
  <c r="A117" i="3"/>
  <c r="G6" i="7" l="1"/>
  <c r="G6" i="8"/>
  <c r="H6" i="8"/>
  <c r="H6" i="7"/>
  <c r="F6" i="7"/>
  <c r="F6" i="8"/>
  <c r="R38" i="1"/>
  <c r="S6" i="8"/>
  <c r="S6" i="7"/>
  <c r="P38" i="1"/>
  <c r="Q6" i="8"/>
  <c r="Q6" i="7"/>
  <c r="I6" i="7"/>
  <c r="I6" i="8"/>
  <c r="O38" i="1"/>
  <c r="P6" i="7"/>
  <c r="P6" i="8"/>
  <c r="M38" i="1"/>
  <c r="N6" i="8"/>
  <c r="N6" i="7"/>
  <c r="K38" i="1"/>
  <c r="L6" i="7"/>
  <c r="L6" i="8"/>
  <c r="I38" i="1"/>
  <c r="J6" i="8"/>
  <c r="J6" i="7"/>
  <c r="G38" i="1"/>
  <c r="F38" i="1"/>
  <c r="H38" i="1"/>
  <c r="F6" i="4"/>
  <c r="AR37" i="1"/>
  <c r="F45" i="4"/>
  <c r="A124" i="3"/>
  <c r="G33" i="3" l="1"/>
  <c r="E11" i="2"/>
  <c r="F11" i="2" s="1"/>
  <c r="G20" i="3" s="1"/>
  <c r="G27" i="3"/>
  <c r="G35" i="3"/>
  <c r="G44" i="3"/>
  <c r="G31" i="3"/>
  <c r="D38" i="1"/>
  <c r="G30" i="3"/>
  <c r="G42" i="3"/>
  <c r="G32" i="3"/>
  <c r="E10" i="2"/>
  <c r="F10" i="2" s="1"/>
  <c r="G19" i="3" s="1"/>
  <c r="G29" i="3"/>
  <c r="G25" i="3"/>
  <c r="G28" i="3"/>
  <c r="G26" i="3"/>
  <c r="G43" i="3"/>
  <c r="E38" i="1"/>
  <c r="AQ38" i="1" l="1"/>
  <c r="F9" i="2"/>
  <c r="G18" i="3" s="1"/>
  <c r="BP40" i="1"/>
  <c r="BP39" i="1"/>
  <c r="E39" i="2" l="1"/>
  <c r="G6" i="4" l="1"/>
  <c r="G45" i="4"/>
  <c r="AA6" i="4"/>
  <c r="I45" i="4"/>
  <c r="I6" i="4"/>
  <c r="X6" i="4"/>
  <c r="J45" i="4"/>
  <c r="J6" i="4"/>
  <c r="AH6" i="4"/>
  <c r="S45" i="4"/>
  <c r="S6" i="4"/>
  <c r="N45" i="4"/>
  <c r="N6" i="4"/>
  <c r="AI6" i="4"/>
  <c r="P6" i="4"/>
  <c r="P45" i="4"/>
  <c r="H6" i="4"/>
  <c r="AF6" i="4"/>
  <c r="L6" i="4"/>
  <c r="L45" i="4"/>
  <c r="AB6" i="4"/>
  <c r="Q6" i="4"/>
  <c r="Q45" i="4"/>
  <c r="AD6" i="4"/>
  <c r="O45" i="4"/>
  <c r="O6" i="4"/>
  <c r="Y6" i="4"/>
  <c r="H45" i="4"/>
  <c r="W6" i="4"/>
  <c r="Z6" i="4"/>
  <c r="T6" i="4"/>
  <c r="V6" i="4"/>
  <c r="AG6" i="4"/>
  <c r="AC6" i="4"/>
  <c r="U6" i="4"/>
  <c r="AP45" i="4" l="1"/>
  <c r="AQ44" i="4"/>
  <c r="A92" i="5" l="1"/>
  <c r="G48" i="3"/>
  <c r="F39" i="2"/>
  <c r="A103" i="5" l="1"/>
  <c r="A102" i="5" s="1"/>
  <c r="C100" i="5" s="1"/>
  <c r="E100" i="5" s="1"/>
  <c r="C92" i="5"/>
  <c r="D100" i="5" l="1"/>
  <c r="A101" i="5" s="1"/>
  <c r="C93" i="5"/>
  <c r="E92" i="5"/>
  <c r="D92" i="5"/>
  <c r="F92" i="5"/>
  <c r="D93" i="5" l="1"/>
  <c r="E93" i="5"/>
  <c r="F93" i="5"/>
  <c r="C94" i="5"/>
  <c r="C95" i="5" l="1"/>
  <c r="D94" i="5" s="1"/>
  <c r="E94" i="5"/>
  <c r="H94" i="5" l="1"/>
  <c r="G94" i="5"/>
  <c r="F94" i="5"/>
  <c r="F95" i="5"/>
  <c r="D95" i="5"/>
  <c r="E95" i="5"/>
  <c r="C96" i="5"/>
  <c r="C97" i="5" l="1"/>
  <c r="E96" i="5"/>
  <c r="D96" i="5"/>
  <c r="E97" i="5" l="1"/>
  <c r="D97" i="5"/>
  <c r="C98" i="5"/>
  <c r="I98" i="5" s="1"/>
  <c r="G97" i="5" l="1"/>
  <c r="H97" i="5"/>
  <c r="D98" i="5"/>
  <c r="E98" i="5"/>
  <c r="B1" i="3"/>
  <c r="A99" i="5" l="1"/>
  <c r="B1" i="5" s="1"/>
  <c r="A102" i="6"/>
  <c r="A101" i="6" s="1"/>
  <c r="C99" i="6" s="1"/>
  <c r="D99" i="6" l="1"/>
  <c r="A100" i="6" s="1"/>
  <c r="E99" i="6"/>
  <c r="A91" i="6"/>
  <c r="C91" i="6" l="1"/>
  <c r="E91" i="6" l="1"/>
  <c r="D91" i="6"/>
  <c r="F91" i="6"/>
  <c r="C92" i="6"/>
  <c r="D92" i="6" l="1"/>
  <c r="F92" i="6"/>
  <c r="E92" i="6"/>
  <c r="C93" i="6"/>
  <c r="C94" i="6" s="1"/>
  <c r="D94" i="6" l="1"/>
  <c r="E94" i="6"/>
  <c r="F94" i="6"/>
  <c r="C95" i="6"/>
  <c r="C96" i="6" s="1"/>
  <c r="F93" i="6"/>
  <c r="H93" i="6"/>
  <c r="G93" i="6"/>
  <c r="D93" i="6"/>
  <c r="E93" i="6"/>
  <c r="D96" i="6" l="1"/>
  <c r="E96" i="6"/>
  <c r="D95" i="6"/>
  <c r="E95" i="6"/>
  <c r="C97" i="6"/>
  <c r="G96" i="6" s="1"/>
  <c r="I97" i="6" l="1"/>
  <c r="H96" i="6"/>
  <c r="D97" i="6"/>
  <c r="E97" i="6"/>
  <c r="A98" i="6" l="1"/>
  <c r="B1" i="6" s="1"/>
  <c r="AO6" i="8"/>
  <c r="AR6" i="7"/>
  <c r="AP6" i="4"/>
</calcChain>
</file>

<file path=xl/sharedStrings.xml><?xml version="1.0" encoding="utf-8"?>
<sst xmlns="http://schemas.openxmlformats.org/spreadsheetml/2006/main" count="2548" uniqueCount="596">
  <si>
    <t xml:space="preserve">за </t>
  </si>
  <si>
    <t>№ п/п</t>
  </si>
  <si>
    <t>Группа</t>
  </si>
  <si>
    <t>Итого:</t>
  </si>
  <si>
    <t>обед</t>
  </si>
  <si>
    <t>корпус</t>
  </si>
  <si>
    <t>,</t>
  </si>
  <si>
    <t>Аббасов Ровшан Шахинович</t>
  </si>
  <si>
    <t>РАСЧЕТ</t>
  </si>
  <si>
    <t>за</t>
  </si>
  <si>
    <t xml:space="preserve">количество дней обучения в месяце:  </t>
  </si>
  <si>
    <t>размер компенсац.выплат в день:</t>
  </si>
  <si>
    <t>Фамилия, имя, отчество</t>
  </si>
  <si>
    <t>Начислено компенсац.выплат за месяц</t>
  </si>
  <si>
    <t>Питание за месяц</t>
  </si>
  <si>
    <t>К выдаче компенсац. выплат</t>
  </si>
  <si>
    <t>ИТОГО:</t>
  </si>
  <si>
    <t>Сумма:</t>
  </si>
  <si>
    <t>подпись</t>
  </si>
  <si>
    <t>расшифровка подписи</t>
  </si>
  <si>
    <t xml:space="preserve">ВЕДОМОСТЬ </t>
  </si>
  <si>
    <t>КОДЫ</t>
  </si>
  <si>
    <t>Форма 389 по ОКУД</t>
  </si>
  <si>
    <t>0504403</t>
  </si>
  <si>
    <t>Дата составления</t>
  </si>
  <si>
    <t>Учреждение (централизованная бухгалтерия)</t>
  </si>
  <si>
    <t>МЦК - ЧЭМК Минобразования Чувашии</t>
  </si>
  <si>
    <t>по ОКПО</t>
  </si>
  <si>
    <t>02529880</t>
  </si>
  <si>
    <t>Структурное подразделение</t>
  </si>
  <si>
    <t>по КСП</t>
  </si>
  <si>
    <t>Раздел (подраздел)</t>
  </si>
  <si>
    <t>по ФКР</t>
  </si>
  <si>
    <t>Целевая статья</t>
  </si>
  <si>
    <t>по КЦСР</t>
  </si>
  <si>
    <t>Вид расходов</t>
  </si>
  <si>
    <t>по КВР</t>
  </si>
  <si>
    <t>Единица измерения: руб.</t>
  </si>
  <si>
    <t>по ОКЕИ</t>
  </si>
  <si>
    <t>0383</t>
  </si>
  <si>
    <t>Источник финансирования</t>
  </si>
  <si>
    <t>Субсидии на иные цели (регион)</t>
  </si>
  <si>
    <t xml:space="preserve">Сумма </t>
  </si>
  <si>
    <t xml:space="preserve">Составил бухгалтер </t>
  </si>
  <si>
    <t>Проверил</t>
  </si>
  <si>
    <t xml:space="preserve"> коп.</t>
  </si>
  <si>
    <t>Сироты</t>
  </si>
  <si>
    <t>Андреев Владимир Анатольевич</t>
  </si>
  <si>
    <t xml:space="preserve">Вяткина Инга Евгеньевна  </t>
  </si>
  <si>
    <t xml:space="preserve">Гришнячая Татьяна Евгеньевна </t>
  </si>
  <si>
    <t xml:space="preserve">Иванов Алексей Юрьевич  </t>
  </si>
  <si>
    <t xml:space="preserve">Иванов Анатолий Игоревич  </t>
  </si>
  <si>
    <t>Тимербулатова Анастасия Витальевна</t>
  </si>
  <si>
    <t xml:space="preserve">Хорошев Валерий Николаевич </t>
  </si>
  <si>
    <t>По настоящей ведомости:</t>
  </si>
  <si>
    <t>выдано</t>
  </si>
  <si>
    <t>Кассир</t>
  </si>
  <si>
    <t xml:space="preserve">                 студентам-сиротам колледжа</t>
  </si>
  <si>
    <t xml:space="preserve">  </t>
  </si>
  <si>
    <t>ВСЕГО питалось учащихся-льготников за день</t>
  </si>
  <si>
    <t>разница</t>
  </si>
  <si>
    <t>Накопительная ведомость по питанию в столовой студентов-сирот</t>
  </si>
  <si>
    <t>Накопительная ведомость по питанию в столовой студентов категории "малоимущие"</t>
  </si>
  <si>
    <t>Дата</t>
  </si>
  <si>
    <t>Фамилия Имя Отчество студента, группа</t>
  </si>
  <si>
    <t>Фамилия Имя Отчество студента, группа, дата действия справки о категории "малоимущие"</t>
  </si>
  <si>
    <t>Стоимость питания в день</t>
  </si>
  <si>
    <t>Стои- мость:</t>
  </si>
  <si>
    <t>Количество обедов:</t>
  </si>
  <si>
    <t>Итого сумма питания:</t>
  </si>
  <si>
    <t>категория "малоимущие"</t>
  </si>
  <si>
    <t>стоимости предоставленного питания студентам колледжа</t>
  </si>
  <si>
    <t>категория "сироты"</t>
  </si>
  <si>
    <t>1 к.</t>
  </si>
  <si>
    <t>3 к.</t>
  </si>
  <si>
    <t>2 к.</t>
  </si>
  <si>
    <t>4 к.</t>
  </si>
  <si>
    <t>кол-во дней обучения</t>
  </si>
  <si>
    <t xml:space="preserve">Примечание </t>
  </si>
  <si>
    <t>стоимости предоставленного питания</t>
  </si>
  <si>
    <t xml:space="preserve">Составил  </t>
  </si>
  <si>
    <t>Бухгалтер ___________________А. И. Ржанова</t>
  </si>
  <si>
    <t>А. И. Ржанова</t>
  </si>
  <si>
    <t>С1-21</t>
  </si>
  <si>
    <t>Эл1-21</t>
  </si>
  <si>
    <t>Директор</t>
  </si>
  <si>
    <t>Н.Ю. Каргин</t>
  </si>
  <si>
    <t xml:space="preserve"> Учреждение (централизованная бухгалтерия)</t>
  </si>
  <si>
    <t>Стоимость обеда:</t>
  </si>
  <si>
    <t>Гл. бухгалтер</t>
  </si>
  <si>
    <t>М.М. Суткова</t>
  </si>
  <si>
    <t>категория "ОВЗ"</t>
  </si>
  <si>
    <t>Накопительная ведомость по питанию в столовой студентов категории "ОВЗ"</t>
  </si>
  <si>
    <t>завтрак</t>
  </si>
  <si>
    <t>Фамилия Имя Отчество студента, группа, дата действия справки</t>
  </si>
  <si>
    <t>Т1-22</t>
  </si>
  <si>
    <t xml:space="preserve"> </t>
  </si>
  <si>
    <t>Л.И.Матвеева</t>
  </si>
  <si>
    <t xml:space="preserve">В марте выплатили за февраль  </t>
  </si>
  <si>
    <t>М1-21</t>
  </si>
  <si>
    <t>Т3-23</t>
  </si>
  <si>
    <t>Эл3-21</t>
  </si>
  <si>
    <t>Семейкин Алексей Михайлович</t>
  </si>
  <si>
    <t>Эл1-23</t>
  </si>
  <si>
    <t>Ефремов Константин Александрович</t>
  </si>
  <si>
    <t>Ведущий бухгалтер _______________Л.И.Матвеева</t>
  </si>
  <si>
    <t xml:space="preserve">Составил </t>
  </si>
  <si>
    <t>П1-24</t>
  </si>
  <si>
    <t>Св3-24</t>
  </si>
  <si>
    <t>О1-24</t>
  </si>
  <si>
    <t>Св1-24</t>
  </si>
  <si>
    <t>Т7-24</t>
  </si>
  <si>
    <t>Д1-24</t>
  </si>
  <si>
    <t>Владимиров Максим Андреевич</t>
  </si>
  <si>
    <t>О3-24</t>
  </si>
  <si>
    <r>
      <t>20</t>
    </r>
    <r>
      <rPr>
        <b/>
        <sz val="14"/>
        <color rgb="FF0033CC"/>
        <rFont val="Arial"/>
        <family val="2"/>
        <charset val="204"/>
      </rPr>
      <t>25</t>
    </r>
    <r>
      <rPr>
        <b/>
        <sz val="14"/>
        <rFont val="Arial"/>
        <family val="2"/>
        <charset val="204"/>
      </rPr>
      <t xml:space="preserve"> г.</t>
    </r>
  </si>
  <si>
    <t>Р5-24</t>
  </si>
  <si>
    <t>2025 г.</t>
  </si>
  <si>
    <r>
      <t>20</t>
    </r>
    <r>
      <rPr>
        <b/>
        <sz val="10"/>
        <color rgb="FF0033CC"/>
        <rFont val="Times New Roman Cyr"/>
        <charset val="204"/>
      </rPr>
      <t>25</t>
    </r>
    <r>
      <rPr>
        <b/>
        <sz val="10"/>
        <rFont val="Times New Roman Cyr"/>
        <charset val="204"/>
      </rPr>
      <t xml:space="preserve"> г.</t>
    </r>
  </si>
  <si>
    <t>Э3-24</t>
  </si>
  <si>
    <t>Плисов Никита Валерьевич</t>
  </si>
  <si>
    <t>выдачи сухого пайка за апрель студентам колледжа</t>
  </si>
  <si>
    <t>категория "ОВЗ", малоимущие</t>
  </si>
  <si>
    <t>обед:37шт*68,76=2544,12</t>
  </si>
  <si>
    <t>зав.31шт*61,64=1910,84</t>
  </si>
  <si>
    <t>2544,12+1910,84=4454,96</t>
  </si>
  <si>
    <t>сентябрь</t>
  </si>
  <si>
    <t>Баклаков Кирилл Сергеевич</t>
  </si>
  <si>
    <t>Эл5-25</t>
  </si>
  <si>
    <t>Иванова Виктория Евгеньевна</t>
  </si>
  <si>
    <t>К1-23</t>
  </si>
  <si>
    <t>Мр1-24</t>
  </si>
  <si>
    <t>Мр2-25</t>
  </si>
  <si>
    <t>Кудряшов Николай Ярославович</t>
  </si>
  <si>
    <t>Кс1-25</t>
  </si>
  <si>
    <t>Федоров Тимур Валентинович</t>
  </si>
  <si>
    <t>Артемьев Сергей Эдуардович</t>
  </si>
  <si>
    <t>К1-25</t>
  </si>
  <si>
    <t>Михайлова Софья Сергеевна</t>
  </si>
  <si>
    <t>Мр1-25</t>
  </si>
  <si>
    <t>Ефимов Никита Вениаминович</t>
  </si>
  <si>
    <t>Яковлев Егор Сергеевич</t>
  </si>
  <si>
    <t>О2-25</t>
  </si>
  <si>
    <t>Садовников Владимир Юрьевич</t>
  </si>
  <si>
    <t>Павлов Глеб Дмитриевич</t>
  </si>
  <si>
    <t>категория "многодетные малоимущие"</t>
  </si>
  <si>
    <t>Накопительная ведомость по питанию в столовой студентов категории многод</t>
  </si>
  <si>
    <t>Адюков Кирилл Александрович</t>
  </si>
  <si>
    <t>октябрь</t>
  </si>
  <si>
    <t>Важоров Владимир Александрович</t>
  </si>
  <si>
    <t>Медведев Иван Алексеевич</t>
  </si>
  <si>
    <t>Петров Даниил Евгеньевич</t>
  </si>
  <si>
    <t>А3-23</t>
  </si>
  <si>
    <t>Архипов Владимир Андреевич</t>
  </si>
  <si>
    <t>М3-22</t>
  </si>
  <si>
    <t>Михетов Алик Сергеевич</t>
  </si>
  <si>
    <t xml:space="preserve">Кудряшов  Роман Олегович </t>
  </si>
  <si>
    <t>А1-23</t>
  </si>
  <si>
    <t>Гуев Егор Федорович</t>
  </si>
  <si>
    <t>ОКТЯБРЬ</t>
  </si>
  <si>
    <t>цена</t>
  </si>
  <si>
    <t>кол-во</t>
  </si>
  <si>
    <t>сумма</t>
  </si>
  <si>
    <t>ИТОГО</t>
  </si>
  <si>
    <t>корпус 1, Ленина, д.9</t>
  </si>
  <si>
    <t>корпус 2, Яковлева, д.17</t>
  </si>
  <si>
    <t xml:space="preserve">                                              </t>
  </si>
  <si>
    <t>корпус 3, Яковлева, д.20/1</t>
  </si>
  <si>
    <t>корпус 4, Пр.Мира, д.40</t>
  </si>
  <si>
    <t>ОВЗ</t>
  </si>
  <si>
    <t>корпус 5, пр.Тракторостроителей, д.99</t>
  </si>
  <si>
    <t>Трансстройтех</t>
  </si>
  <si>
    <t>Корпус</t>
  </si>
  <si>
    <t>Студент</t>
  </si>
  <si>
    <t>Дата с</t>
  </si>
  <si>
    <t>Дата по</t>
  </si>
  <si>
    <t>Обед</t>
  </si>
  <si>
    <t>Затрак</t>
  </si>
  <si>
    <t>Категория</t>
  </si>
  <si>
    <t>Алексеев Станислав Александрович</t>
  </si>
  <si>
    <t>Л1-25</t>
  </si>
  <si>
    <t>Ванюшина Арина Александровна</t>
  </si>
  <si>
    <t>Д1-25</t>
  </si>
  <si>
    <t>Иванов Сергей Павлович</t>
  </si>
  <si>
    <t>Козлов Степан Александрович</t>
  </si>
  <si>
    <t>Э3-25</t>
  </si>
  <si>
    <t>Краснов Роман Александрович</t>
  </si>
  <si>
    <t>Курманова Виктория Александровна</t>
  </si>
  <si>
    <t>Лосев Никита Владимирович</t>
  </si>
  <si>
    <t>Св5-25</t>
  </si>
  <si>
    <t>Степанов Александр Алексеевич</t>
  </si>
  <si>
    <t>Терентьев Константин Олегович</t>
  </si>
  <si>
    <t>Св3-25</t>
  </si>
  <si>
    <t>Тульнов Даниил Александрович</t>
  </si>
  <si>
    <t>Са1-24</t>
  </si>
  <si>
    <t>Ильин Алексей Сергеевич</t>
  </si>
  <si>
    <t>С3-21</t>
  </si>
  <si>
    <t>Патшин Ярослав Витальевич</t>
  </si>
  <si>
    <t>Степанов Михаил Александрович</t>
  </si>
  <si>
    <t>С3-24</t>
  </si>
  <si>
    <t>С1-24</t>
  </si>
  <si>
    <t>Выберите корпус:</t>
  </si>
  <si>
    <t>Корпус 1</t>
  </si>
  <si>
    <t>Корпус 2</t>
  </si>
  <si>
    <t>Корпус 3</t>
  </si>
  <si>
    <t>Корпус 4</t>
  </si>
  <si>
    <t>Корпус 5</t>
  </si>
  <si>
    <t>Многодетные</t>
  </si>
  <si>
    <t>ВСЕ</t>
  </si>
  <si>
    <t>Выберите категорию:</t>
  </si>
  <si>
    <t>\</t>
  </si>
  <si>
    <t>Эл1-24</t>
  </si>
  <si>
    <t>Даркин Максим Федорович</t>
  </si>
  <si>
    <t>Яргунин Егор Алексеевич</t>
  </si>
  <si>
    <t>Павлов Максим Алексеевич</t>
  </si>
  <si>
    <t>С1-25</t>
  </si>
  <si>
    <t>Матвеев Кирилл Алексеевич</t>
  </si>
  <si>
    <t>Эл5-24</t>
  </si>
  <si>
    <t>Тихонов Анатолий Владимирович</t>
  </si>
  <si>
    <t>Эл3-23</t>
  </si>
  <si>
    <t>Александров Павел Игоревич</t>
  </si>
  <si>
    <t>малоимущие</t>
  </si>
  <si>
    <t>По3-23</t>
  </si>
  <si>
    <t>Арланов Павел Евгеньевич</t>
  </si>
  <si>
    <t>Архипов Дмитрий Валерьевич</t>
  </si>
  <si>
    <t>М3-25</t>
  </si>
  <si>
    <t>Афанасьев Александр Сергеевич</t>
  </si>
  <si>
    <t>Ир5-25</t>
  </si>
  <si>
    <t>Васильев Вадим Александрович</t>
  </si>
  <si>
    <t>С1-22</t>
  </si>
  <si>
    <t>Григорьев Павел Валерьевич</t>
  </si>
  <si>
    <t>Ип1-22</t>
  </si>
  <si>
    <t>Гаврилов Павел Андреевич</t>
  </si>
  <si>
    <t>Джавадов Зохраб Зохраб оглы</t>
  </si>
  <si>
    <t>Б1-23</t>
  </si>
  <si>
    <t>Дмитриев Давид Александрович</t>
  </si>
  <si>
    <t>Ир1-25</t>
  </si>
  <si>
    <t>Егоров Вадим Юрьевич</t>
  </si>
  <si>
    <t>Ильина Карина Александровна</t>
  </si>
  <si>
    <t>Б1-25</t>
  </si>
  <si>
    <t>Кондратьев Владислав Владимирович</t>
  </si>
  <si>
    <t>По5-25</t>
  </si>
  <si>
    <t>Кротков Дмитрий Сергеевич</t>
  </si>
  <si>
    <t>О3-25</t>
  </si>
  <si>
    <t>Мешков Максим Валерьевич</t>
  </si>
  <si>
    <t>По1-23</t>
  </si>
  <si>
    <t>Николаев Артем Рафаэлевич</t>
  </si>
  <si>
    <t>Николаев Никита Игоревич</t>
  </si>
  <si>
    <t>Петров Фёдор Русланович</t>
  </si>
  <si>
    <t>О1-25</t>
  </si>
  <si>
    <t>Романов Кирилл Андреевич</t>
  </si>
  <si>
    <t>Кс5-25</t>
  </si>
  <si>
    <t>Романов Роман Дмитриевич</t>
  </si>
  <si>
    <t>Ир3-25</t>
  </si>
  <si>
    <t>Семенов Константин Алексеевич</t>
  </si>
  <si>
    <t>Т5-25</t>
  </si>
  <si>
    <t>Спортов Владимир Александрович</t>
  </si>
  <si>
    <t>Шваб Ярослав Александрович</t>
  </si>
  <si>
    <t>Кудреватый Евгений Михайлович</t>
  </si>
  <si>
    <t xml:space="preserve">О3-24 </t>
  </si>
  <si>
    <t xml:space="preserve">Р3-25 </t>
  </si>
  <si>
    <t>Панфилов Максим Александрович</t>
  </si>
  <si>
    <t>многодетные малоимущие</t>
  </si>
  <si>
    <t xml:space="preserve">О1-25 </t>
  </si>
  <si>
    <t>Тишаков Матвей Алексеевич</t>
  </si>
  <si>
    <t>Л1-24</t>
  </si>
  <si>
    <t>Ермолаева Ксения Евгеньевна</t>
  </si>
  <si>
    <t>Ип1-25</t>
  </si>
  <si>
    <t>Давыдов Денис Андреевич</t>
  </si>
  <si>
    <t>Петров Иван Алексеевич</t>
  </si>
  <si>
    <t xml:space="preserve">Э3-24 </t>
  </si>
  <si>
    <t>Серебров Егор Сергеевич</t>
  </si>
  <si>
    <t>Сергеев Артём Евгеньевич</t>
  </si>
  <si>
    <t>Яковлев Артём Григорьевич</t>
  </si>
  <si>
    <t>Петров Дмитрий Владиславович</t>
  </si>
  <si>
    <t>Сорокин Дмитрий Александрович</t>
  </si>
  <si>
    <t xml:space="preserve">Э3-25 </t>
  </si>
  <si>
    <t xml:space="preserve">Св5-25 </t>
  </si>
  <si>
    <t>П1-25</t>
  </si>
  <si>
    <t>Седойкина Елисавета Петровна</t>
  </si>
  <si>
    <t>Петрова Ксения Дмитриевна</t>
  </si>
  <si>
    <t xml:space="preserve">С3-21 </t>
  </si>
  <si>
    <t>Егоров Евгений Дмитриевич</t>
  </si>
  <si>
    <t>Иванов Данил Владимирович</t>
  </si>
  <si>
    <t>Бодерсков Глеб Сергеевич</t>
  </si>
  <si>
    <t>По1-25</t>
  </si>
  <si>
    <t>Селиванов Мирослав Константинович</t>
  </si>
  <si>
    <t>Тепайкина Олега Владимирович</t>
  </si>
  <si>
    <t xml:space="preserve">С1-24 </t>
  </si>
  <si>
    <t>Архипова Дмитрия Валерьевича</t>
  </si>
  <si>
    <t xml:space="preserve">М1-25 </t>
  </si>
  <si>
    <t>Гурьев Артем Андреевич</t>
  </si>
  <si>
    <t>Абрамычев Олег Андреевич</t>
  </si>
  <si>
    <t>Кудряшов Роман Олегович</t>
  </si>
  <si>
    <t>Егоров Всеволод Константинович</t>
  </si>
  <si>
    <t xml:space="preserve">Св3-24 </t>
  </si>
  <si>
    <t xml:space="preserve">Д1-24 </t>
  </si>
  <si>
    <t xml:space="preserve">О3-25 </t>
  </si>
  <si>
    <t>Тархановский Савелий Павлович</t>
  </si>
  <si>
    <t>Хлебнов Николай Сергеевич</t>
  </si>
  <si>
    <t>Миронов Александр Александрович</t>
  </si>
  <si>
    <t>Орлов Савелий Евгеньевич</t>
  </si>
  <si>
    <t>Алексеев Алексей Анатольевич</t>
  </si>
  <si>
    <t>07.05.2025 05.09.2025</t>
  </si>
  <si>
    <t>01.03.2026 30.06.2026</t>
  </si>
  <si>
    <t>инвалидность с детства с ОВЗ</t>
  </si>
  <si>
    <t>участник СВО</t>
  </si>
  <si>
    <t>Немкин Максим Игоревич</t>
  </si>
  <si>
    <t>С3-25</t>
  </si>
  <si>
    <t>Петров Степан Андреевич</t>
  </si>
  <si>
    <t>Эл1-25</t>
  </si>
  <si>
    <t>Федотов Александр Алексеевич</t>
  </si>
  <si>
    <t>Б3-25</t>
  </si>
  <si>
    <t>Гавриш Мария Алексеевна</t>
  </si>
  <si>
    <t>Кулюкин Данил Александрович</t>
  </si>
  <si>
    <t>Э1-25</t>
  </si>
  <si>
    <t>Григорьев Иван Дмитриевич</t>
  </si>
  <si>
    <t>Т1-23</t>
  </si>
  <si>
    <t>Александров Владимир Сергеевич</t>
  </si>
  <si>
    <t>Порфирьев Богдан Романович</t>
  </si>
  <si>
    <t>Максимова Дарья Дмитриевна</t>
  </si>
  <si>
    <t>Золотухин Михаил Дмитриевич</t>
  </si>
  <si>
    <t>Ир1-23</t>
  </si>
  <si>
    <t>Амерханов Тимур Рауфович</t>
  </si>
  <si>
    <t>Тамянова Татьяна Евгеньевна</t>
  </si>
  <si>
    <t>Р1-25</t>
  </si>
  <si>
    <t>Ефимов Артём Сергеевич</t>
  </si>
  <si>
    <t>Тимофеев Роман Владиславович</t>
  </si>
  <si>
    <t>Св1-25</t>
  </si>
  <si>
    <t>Александров Александр Брониславович</t>
  </si>
  <si>
    <t>Щеголев Александр Дмитриевич</t>
  </si>
  <si>
    <t>Игнатьев Кирилл Валерьевич</t>
  </si>
  <si>
    <t>Андреев Федор Александрович</t>
  </si>
  <si>
    <t>Алексеев Кирилл Сергеевич</t>
  </si>
  <si>
    <t>М1-25</t>
  </si>
  <si>
    <t>Ип1-23</t>
  </si>
  <si>
    <t>Громов Станислав Кондратьевич</t>
  </si>
  <si>
    <t>Иванов Михаил Владимирович</t>
  </si>
  <si>
    <t>Алексеев Сергей Сергеевич</t>
  </si>
  <si>
    <t>Дети участников СВО</t>
  </si>
  <si>
    <t>Андреев Кирилл Андреевич</t>
  </si>
  <si>
    <t>Афанасьев Никита Викторович</t>
  </si>
  <si>
    <t>М3-24</t>
  </si>
  <si>
    <t>Афанасьев Роман Евгеньевич</t>
  </si>
  <si>
    <t>Ванюшкина Юлиана Андреевна</t>
  </si>
  <si>
    <t>Кс3-25</t>
  </si>
  <si>
    <t>Васильев Алексей Денисович</t>
  </si>
  <si>
    <t>Васильев Кирилл Андреевич</t>
  </si>
  <si>
    <t>Ир1-24</t>
  </si>
  <si>
    <t>Васильев Станислав Сергеевич</t>
  </si>
  <si>
    <t>Вострилов Кирилл Андреевич</t>
  </si>
  <si>
    <t>Григорьев Матвей Алексеевич</t>
  </si>
  <si>
    <t>Демахин Даниил Евгеньевич</t>
  </si>
  <si>
    <t>Дубинин Павел Владимирович</t>
  </si>
  <si>
    <t xml:space="preserve">Дети участников СВО </t>
  </si>
  <si>
    <t>Заморжев Антон Александрович</t>
  </si>
  <si>
    <t>Иванов Антон Геннадьевич</t>
  </si>
  <si>
    <t>Ип1-24</t>
  </si>
  <si>
    <t>Иллюминарский Артём Игоревич</t>
  </si>
  <si>
    <t>Ипатьева София Павловна</t>
  </si>
  <si>
    <t>Карзанов Артем Евгеньевич</t>
  </si>
  <si>
    <t>Колесников Иван Дмитриевич</t>
  </si>
  <si>
    <t>Колпаков Илья Сергеевич</t>
  </si>
  <si>
    <t>Ир1-22</t>
  </si>
  <si>
    <t>Кулешников Александр Русланович</t>
  </si>
  <si>
    <t>Ларионов Вениамин Петрович</t>
  </si>
  <si>
    <t>Лаушкин Антон Андреевич</t>
  </si>
  <si>
    <t>Ленков Степан Алексеевич</t>
  </si>
  <si>
    <t>М3-23</t>
  </si>
  <si>
    <t>Маряшкин Максим Алексеевич</t>
  </si>
  <si>
    <t>Т3-22</t>
  </si>
  <si>
    <t>Михайлов Кирилл Андреевич</t>
  </si>
  <si>
    <t>Никитин Никита Дмитриевич</t>
  </si>
  <si>
    <t>Николаев Сергей Алексеевич</t>
  </si>
  <si>
    <t>Николаев Ян Николаевич</t>
  </si>
  <si>
    <t>Б1-22</t>
  </si>
  <si>
    <t>Николаева Настасья Павловна</t>
  </si>
  <si>
    <t>Павлов Никита Денисович</t>
  </si>
  <si>
    <t>Павлов Сергей Дмитриевич</t>
  </si>
  <si>
    <t>Романцов Дмитрий Евгеньевич</t>
  </si>
  <si>
    <t>Са3-24</t>
  </si>
  <si>
    <t>отказ</t>
  </si>
  <si>
    <t>Сапожников Федор Эдуардович</t>
  </si>
  <si>
    <t>Т3-25</t>
  </si>
  <si>
    <t>Селянкин Андрей Владимирович</t>
  </si>
  <si>
    <t>Семенов Максим Владимирович</t>
  </si>
  <si>
    <t>Смирнов Елисей Сергеевич</t>
  </si>
  <si>
    <t>Александрова Людмила Евгеньевна</t>
  </si>
  <si>
    <t>Дети ветеранов боевых действий</t>
  </si>
  <si>
    <t>Гаврилова Анастасия Сергеевна</t>
  </si>
  <si>
    <t>Данилов Денис Георгиевич</t>
  </si>
  <si>
    <t>Данилова Антонина Валерьевна</t>
  </si>
  <si>
    <t>Ерошин Даниил Александрович</t>
  </si>
  <si>
    <t>Калтынов Артём Александрович</t>
  </si>
  <si>
    <t>Капсулов Константин Сергеевич</t>
  </si>
  <si>
    <t>Климова Таисия Дмитриевна</t>
  </si>
  <si>
    <t>Лица с ОВЗ</t>
  </si>
  <si>
    <t>Козлов Дмитрий Игоревич</t>
  </si>
  <si>
    <t>Колчин Илья Константинович</t>
  </si>
  <si>
    <t>Кортунова Эвелина Сергеевна</t>
  </si>
  <si>
    <t>Кудерге Кирилл Александрович</t>
  </si>
  <si>
    <t>Кузьмин Кирилл Алексеевич</t>
  </si>
  <si>
    <t>Куприянов Евгений Александрович</t>
  </si>
  <si>
    <t>Левагин Иван Владимирович</t>
  </si>
  <si>
    <t>Мефодьев Павел Аркадьевич</t>
  </si>
  <si>
    <t>Муравьев Михаил Сергеевич</t>
  </si>
  <si>
    <t>Селиванов Никита Сергеевич</t>
  </si>
  <si>
    <t>Федотов Денис Владимирович</t>
  </si>
  <si>
    <t>Шутемова Людмила Валерьевна</t>
  </si>
  <si>
    <t>Андреев Егор Эдуардович</t>
  </si>
  <si>
    <t>Афанасьев Вадим Русланович</t>
  </si>
  <si>
    <t>Егоров Денис Алексеевич</t>
  </si>
  <si>
    <t>Иванов Марк Алексеевич</t>
  </si>
  <si>
    <t>Дети военнослужащих погибших при исполнении ими обязанностей военной службы</t>
  </si>
  <si>
    <t>Маркитанова Ксения Владимировна</t>
  </si>
  <si>
    <t>Павлова Мария Анатольевна</t>
  </si>
  <si>
    <t>Романов Евгений Алексеевич</t>
  </si>
  <si>
    <t>Семёнова Юлия Николаевна</t>
  </si>
  <si>
    <t>Яковлев Александр Анатольевич</t>
  </si>
  <si>
    <t>Гречишкин Кирилл Евгеньевич</t>
  </si>
  <si>
    <t>Гурьев Дмитрий Владимирович</t>
  </si>
  <si>
    <t>Захаров Иван Александрович</t>
  </si>
  <si>
    <t>Ижеев Владимир Андреевич</t>
  </si>
  <si>
    <t>Кириллов Степан Димитриевич</t>
  </si>
  <si>
    <t>Крылова Кира Павловна</t>
  </si>
  <si>
    <t>Прокопьев Геннадий Эдуардович</t>
  </si>
  <si>
    <t>Семенов Родион Сергеевич</t>
  </si>
  <si>
    <t>Арсентьев Павел Сергеевич</t>
  </si>
  <si>
    <t>Иларионов Александр Сергеевич</t>
  </si>
  <si>
    <t>Кочетков Дмитрий Алексеевич</t>
  </si>
  <si>
    <t>Мамутин Павел Евгеньевич</t>
  </si>
  <si>
    <t>Ип3-25</t>
  </si>
  <si>
    <t>Кириллов Никита Андреевич</t>
  </si>
  <si>
    <t>Ермаков Роман Алексеевич</t>
  </si>
  <si>
    <t>Кондратьева Олеся Александровна</t>
  </si>
  <si>
    <t>Тарасова Владислава Викторовна</t>
  </si>
  <si>
    <t>К3-25</t>
  </si>
  <si>
    <t>Матвеев Кирилл Сергеевич</t>
  </si>
  <si>
    <t>Петрова Юлия Олеговна</t>
  </si>
  <si>
    <t>Кондакова Татьяна Эдуардовна</t>
  </si>
  <si>
    <t>Кондратьева Яна Александровна</t>
  </si>
  <si>
    <t>Ефимова Карина Юрьевна</t>
  </si>
  <si>
    <t>Быков Дмитрий Александрович</t>
  </si>
  <si>
    <t>Григорьев Данил Русланович</t>
  </si>
  <si>
    <t>Матюков Андрей Денисович</t>
  </si>
  <si>
    <t>Федоров Никита Владимирович</t>
  </si>
  <si>
    <t>Егоров Артур Андреевич</t>
  </si>
  <si>
    <t>Шмуллин Иван Александрович</t>
  </si>
  <si>
    <t>Бондарева Любовь Андреевна</t>
  </si>
  <si>
    <t>Токарев Иван Михайлович</t>
  </si>
  <si>
    <t>Николаев Кирилл Николаевич</t>
  </si>
  <si>
    <t>Калугин Константин Андреевич</t>
  </si>
  <si>
    <t>Александров Владимир Евгеньевич</t>
  </si>
  <si>
    <t>Борисов Дмитрий Болиславович</t>
  </si>
  <si>
    <t>Петров Алексей Сергеевич</t>
  </si>
  <si>
    <t>Елунин Алексей Иванович</t>
  </si>
  <si>
    <t>Гертер Виктория Алексеевна</t>
  </si>
  <si>
    <t>Кузьмина Жанна Петровна</t>
  </si>
  <si>
    <t>Тетерев Александр Андреевич</t>
  </si>
  <si>
    <t>Яковлев Сергей Владимирович</t>
  </si>
  <si>
    <t>По3-25</t>
  </si>
  <si>
    <t>Нечипуренко Севастьян Андреевич</t>
  </si>
  <si>
    <t>Шарафутдинов Ильяс Альбертович</t>
  </si>
  <si>
    <t>Шевцов Семён Алексеевич</t>
  </si>
  <si>
    <t>Яковлев Артём Эдуардович</t>
  </si>
  <si>
    <t>Р3-25</t>
  </si>
  <si>
    <t>Петров Дмитрий Сергеевич</t>
  </si>
  <si>
    <t>Степанов Вадим Иванович</t>
  </si>
  <si>
    <t>Андреев Артём Николаевич</t>
  </si>
  <si>
    <t>Иванов Павел Раджиевич</t>
  </si>
  <si>
    <t>Петров Сергей Алексеевич</t>
  </si>
  <si>
    <t>Радаев Даниил Витальевич</t>
  </si>
  <si>
    <t>Яковлев Даниил Николаевич</t>
  </si>
  <si>
    <t>Алексеев Никита Валерьевич</t>
  </si>
  <si>
    <t>Васильев Денис Александрович</t>
  </si>
  <si>
    <t>Воронков Кирилл Евгеньевич</t>
  </si>
  <si>
    <t>Кузнецов Дмитрий Андреевич</t>
  </si>
  <si>
    <t>Васильев Сергей Валерьевич</t>
  </si>
  <si>
    <t>Выходченко Андрей Владимирович</t>
  </si>
  <si>
    <t>Ефимов Кирилл Алексеевич</t>
  </si>
  <si>
    <t>Михайлов Ярослав Игоревич</t>
  </si>
  <si>
    <t>Т1-25</t>
  </si>
  <si>
    <t>Андреев Александр Алексеевич</t>
  </si>
  <si>
    <t>Ваструшкин Егор Андреевич</t>
  </si>
  <si>
    <t>Зиганшин Марсель Айдарович</t>
  </si>
  <si>
    <t>Иванов Иван Николаевич</t>
  </si>
  <si>
    <t>Семенин Сергей Дмитриевич</t>
  </si>
  <si>
    <t>Созонюк Денис Витальевич</t>
  </si>
  <si>
    <t>Богатеев Андрей Николаевич</t>
  </si>
  <si>
    <t>Григорьев Егор Владимирович</t>
  </si>
  <si>
    <t>Сапожников Артём Анатольевич</t>
  </si>
  <si>
    <t>Яковлев Арсений Александрович</t>
  </si>
  <si>
    <t>Васильев Даниил Николаевич</t>
  </si>
  <si>
    <t>Дернов Даниил Александрович</t>
  </si>
  <si>
    <t>Дернов Дмитрий Александрович</t>
  </si>
  <si>
    <t>Мясников Дмитрий Алексеевич</t>
  </si>
  <si>
    <t>Соколов Александр Сергеевич</t>
  </si>
  <si>
    <t>Хозяшев Артём Алексеевич</t>
  </si>
  <si>
    <t>Дорожный Антон Сергеевич</t>
  </si>
  <si>
    <t>Эл3-25</t>
  </si>
  <si>
    <t>Яковлев Александр Александрович</t>
  </si>
  <si>
    <t>Хораськина Елизавета Александровна</t>
  </si>
  <si>
    <t>Семенов Никита Сергеевич</t>
  </si>
  <si>
    <t>Поликарпова Маргарита Александровна</t>
  </si>
  <si>
    <t>Са3-22</t>
  </si>
  <si>
    <t xml:space="preserve">Петров Александр Сергеевич </t>
  </si>
  <si>
    <t>Миронов Даниил Иванович</t>
  </si>
  <si>
    <t>С3-23</t>
  </si>
  <si>
    <t>Васильев Денис Олегович</t>
  </si>
  <si>
    <t xml:space="preserve">Петрова Софья Александровна </t>
  </si>
  <si>
    <t>Са5-24</t>
  </si>
  <si>
    <t xml:space="preserve">Краснов Дмитрий Вячеславович  </t>
  </si>
  <si>
    <t>Са7-24</t>
  </si>
  <si>
    <t>Шашкин Пётр Евгеньевич</t>
  </si>
  <si>
    <t>С3-22</t>
  </si>
  <si>
    <t>Тогулев Михаил Сергеевич</t>
  </si>
  <si>
    <t>Ит1-22</t>
  </si>
  <si>
    <t>Захаров Дмитрий Сергеевич</t>
  </si>
  <si>
    <t>Ит1-23</t>
  </si>
  <si>
    <t>Рыбаков Евгений Сергеевич</t>
  </si>
  <si>
    <t>Ит1-24</t>
  </si>
  <si>
    <t>Квартальный Андрей Владимирович</t>
  </si>
  <si>
    <t>Ир3-24</t>
  </si>
  <si>
    <t>Иванов Павел Алексеевич</t>
  </si>
  <si>
    <t>Карпов Кирилл Сергеевич</t>
  </si>
  <si>
    <t>Ир3-22</t>
  </si>
  <si>
    <t>Петрова Оксана Олеговна</t>
  </si>
  <si>
    <t>Афанасьев Егор Александрович</t>
  </si>
  <si>
    <t>Ип3-23</t>
  </si>
  <si>
    <t>Овчинников Дмитрий Алексеевич</t>
  </si>
  <si>
    <t>Сапожников Фёдор Эдуардович</t>
  </si>
  <si>
    <t>Иванов Илья Дмитриевич</t>
  </si>
  <si>
    <t>Григорьев Евгений Алексеевич</t>
  </si>
  <si>
    <t>Азаров Арсений Павлович</t>
  </si>
  <si>
    <t>Ухлейкин Павел Александрович</t>
  </si>
  <si>
    <t>Белоцкий Александр Николаевич</t>
  </si>
  <si>
    <t>Ип5-24</t>
  </si>
  <si>
    <t>Сюзюкин Тимур Алексеевич</t>
  </si>
  <si>
    <t xml:space="preserve">Кабаева Валерия Романовна </t>
  </si>
  <si>
    <t>Яковлев Артём Юрьевич</t>
  </si>
  <si>
    <t>Плетнёв Глеб Николаевич</t>
  </si>
  <si>
    <t xml:space="preserve">Никитин Валерий Андреевич </t>
  </si>
  <si>
    <t>Богатнаев Артём Сергеевич</t>
  </si>
  <si>
    <t>Яковлев Павел Игоревич</t>
  </si>
  <si>
    <t>Смирнов Кирилл Александрович</t>
  </si>
  <si>
    <t>Солдатов Дмитрий Константинович</t>
  </si>
  <si>
    <t>По3-24</t>
  </si>
  <si>
    <t>Тимофеев Владислав Владимирович</t>
  </si>
  <si>
    <t>Троян Александр Сергеевич</t>
  </si>
  <si>
    <t>Р1-24</t>
  </si>
  <si>
    <t>Тихомиров Константин Вячеславович</t>
  </si>
  <si>
    <t>А1-25</t>
  </si>
  <si>
    <t>Адюков Данил Александрович</t>
  </si>
  <si>
    <t>Павлова Кристина Олеговна</t>
  </si>
  <si>
    <t>Б1-24</t>
  </si>
  <si>
    <t>Шабанов Иван Александрович</t>
  </si>
  <si>
    <t>Сокол Полина Дмитриевна</t>
  </si>
  <si>
    <t>Гурьянов Дмитрий Андреевич</t>
  </si>
  <si>
    <t>30.10..2025</t>
  </si>
  <si>
    <t>Завадзкис Аурелиюс Вигаудасович</t>
  </si>
  <si>
    <t>Юнусов Дмитрий Николаевич</t>
  </si>
  <si>
    <t>Яковлев Артем Юрьевич</t>
  </si>
  <si>
    <t>Мартынов Павел Игоревич</t>
  </si>
  <si>
    <t>Аленчиков Никита Михайлович</t>
  </si>
  <si>
    <t>Ильина Дарья Сергеевна</t>
  </si>
  <si>
    <t>Елизаров Максим Игоревич</t>
  </si>
  <si>
    <t>Т3-24</t>
  </si>
  <si>
    <t>Башмаков Иван Сергеевич</t>
  </si>
  <si>
    <t>Б3-24</t>
  </si>
  <si>
    <t>Кадыков Анатолий Евгеньевич</t>
  </si>
  <si>
    <t>П1-22</t>
  </si>
  <si>
    <t>Иванов Алексей Алексеевич</t>
  </si>
  <si>
    <t>Т1-24</t>
  </si>
  <si>
    <t>Борисов Иван Сергеевич</t>
  </si>
  <si>
    <t xml:space="preserve">По5-25 </t>
  </si>
  <si>
    <t>Алексеев Данил Николаевич</t>
  </si>
  <si>
    <t>Ефимов Артем Сергеевич</t>
  </si>
  <si>
    <t>в СВО</t>
  </si>
  <si>
    <t>Дети-инвалиды</t>
  </si>
  <si>
    <t>Дети-инвалиды с ОВЗ</t>
  </si>
  <si>
    <t>Cироты</t>
  </si>
  <si>
    <t>с ОВЗ Дети-инвалиды</t>
  </si>
  <si>
    <t>Месяц</t>
  </si>
  <si>
    <t>Малоимущие</t>
  </si>
  <si>
    <t>Сергеев Артем Евгеньевич</t>
  </si>
  <si>
    <t>Бадерсков Глеб Сергеевич</t>
  </si>
  <si>
    <t>Заказов Кирилл Александрович</t>
  </si>
  <si>
    <t>М1-22</t>
  </si>
  <si>
    <t>Ишуков Кирилл Алексеевич</t>
  </si>
  <si>
    <t>Семенов Иван Иванович</t>
  </si>
  <si>
    <t>М1-23</t>
  </si>
  <si>
    <t>Степанов Александр Владимирович</t>
  </si>
  <si>
    <t>А5-23</t>
  </si>
  <si>
    <t>Тарасов Максим Андреевич</t>
  </si>
  <si>
    <t>Тепайкин Олег Владимирович</t>
  </si>
  <si>
    <t>Петров Федор Русланович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</si>
</sst>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&quot;р.&quot;_-;\-* #,##0.00&quot;р.&quot;_-;_-* &quot;-&quot;??&quot;р.&quot;_-;_-@_-"/>
    <numFmt numFmtId="165" formatCode="#,##0.00_ ;[Red]\-#,##0.00\ "/>
    <numFmt numFmtId="166" formatCode="#,##0_ ;[Red]\-#,##0\ "/>
    <numFmt numFmtId="167" formatCode="mmmm"/>
    <numFmt numFmtId="168" formatCode="0.\-00"/>
    <numFmt numFmtId="169" formatCode="0.0"/>
  </numFmts>
  <fonts count="69" x14ac:knownFonts="1">
    <font>
      <sz val="10"/>
      <color theme="1"/>
      <name val="Arial"/>
      <family val="2"/>
      <charset val="204"/>
    </font>
    <font>
      <b/>
      <sz val="14"/>
      <name val="Arial"/>
      <family val="2"/>
      <charset val="204"/>
    </font>
    <font>
      <b/>
      <sz val="9"/>
      <name val="Arial"/>
      <family val="2"/>
      <charset val="204"/>
    </font>
    <font>
      <sz val="14"/>
      <name val="Arial"/>
      <family val="2"/>
      <charset val="204"/>
    </font>
    <font>
      <sz val="16"/>
      <name val="Arial"/>
      <family val="2"/>
      <charset val="204"/>
    </font>
    <font>
      <sz val="10"/>
      <name val="Arial"/>
      <family val="2"/>
      <charset val="204"/>
    </font>
    <font>
      <b/>
      <sz val="16"/>
      <name val="Arial"/>
      <family val="2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0"/>
      <color indexed="18"/>
      <name val="Arial"/>
      <family val="2"/>
      <charset val="204"/>
    </font>
    <font>
      <sz val="10"/>
      <color indexed="10"/>
      <name val="Arial"/>
      <family val="2"/>
      <charset val="204"/>
    </font>
    <font>
      <b/>
      <sz val="10"/>
      <color indexed="10"/>
      <name val="Arial"/>
      <family val="2"/>
      <charset val="204"/>
    </font>
    <font>
      <b/>
      <sz val="10"/>
      <color indexed="45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0"/>
      <name val="Times New Roman Cyr"/>
      <charset val="204"/>
    </font>
    <font>
      <b/>
      <i/>
      <sz val="10"/>
      <color indexed="8"/>
      <name val="Times New Roman Cyr"/>
      <family val="1"/>
      <charset val="204"/>
    </font>
    <font>
      <sz val="10"/>
      <color indexed="10"/>
      <name val="Times New Roman Cyr"/>
      <charset val="204"/>
    </font>
    <font>
      <b/>
      <i/>
      <sz val="11"/>
      <name val="Times New Roman Cyr"/>
      <family val="1"/>
      <charset val="204"/>
    </font>
    <font>
      <sz val="8"/>
      <name val="Times New Roman Cyr"/>
      <charset val="204"/>
    </font>
    <font>
      <sz val="6"/>
      <name val="Times New Roman Cyr"/>
      <charset val="204"/>
    </font>
    <font>
      <sz val="8"/>
      <color indexed="10"/>
      <name val="Times New Roman Cyr"/>
      <charset val="204"/>
    </font>
    <font>
      <b/>
      <sz val="10"/>
      <name val="Times New Roman Cyr"/>
      <charset val="204"/>
    </font>
    <font>
      <b/>
      <sz val="14"/>
      <name val="Times New Roman Cyr"/>
      <charset val="204"/>
    </font>
    <font>
      <b/>
      <sz val="10"/>
      <name val="Times New Roman Cyr"/>
      <family val="1"/>
      <charset val="204"/>
    </font>
    <font>
      <b/>
      <sz val="12"/>
      <name val="Times New Roman Cyr"/>
      <charset val="204"/>
    </font>
    <font>
      <b/>
      <sz val="12"/>
      <color indexed="18"/>
      <name val="Times New Roman Cyr"/>
      <charset val="204"/>
    </font>
    <font>
      <b/>
      <sz val="10"/>
      <color indexed="18"/>
      <name val="Times New Roman Cyr"/>
      <family val="1"/>
      <charset val="204"/>
    </font>
    <font>
      <b/>
      <sz val="11"/>
      <name val="Times New Roman Cyr"/>
      <charset val="204"/>
    </font>
    <font>
      <sz val="12"/>
      <name val="Times New Roman Cyr"/>
      <charset val="204"/>
    </font>
    <font>
      <b/>
      <i/>
      <sz val="11"/>
      <name val="Times New Roman Cyr"/>
      <charset val="204"/>
    </font>
    <font>
      <sz val="12"/>
      <color indexed="10"/>
      <name val="Times New Roman Cyr"/>
      <charset val="204"/>
    </font>
    <font>
      <sz val="14"/>
      <name val="Times New Roman Cyr"/>
      <charset val="204"/>
    </font>
    <font>
      <b/>
      <sz val="10"/>
      <name val="Times New Roman"/>
      <family val="1"/>
      <charset val="204"/>
    </font>
    <font>
      <b/>
      <sz val="10"/>
      <color indexed="10"/>
      <name val="Times New Roman Cyr"/>
      <family val="1"/>
      <charset val="204"/>
    </font>
    <font>
      <b/>
      <sz val="6"/>
      <color indexed="10"/>
      <name val="Times New Roman Cyr"/>
      <family val="1"/>
      <charset val="204"/>
    </font>
    <font>
      <b/>
      <sz val="6"/>
      <name val="Times New Roman Cyr"/>
      <family val="1"/>
      <charset val="204"/>
    </font>
    <font>
      <sz val="10"/>
      <name val="Times New Roman Cyr"/>
      <family val="1"/>
      <charset val="204"/>
    </font>
    <font>
      <sz val="12"/>
      <name val="Times New Roman"/>
      <family val="1"/>
      <charset val="204"/>
    </font>
    <font>
      <sz val="11"/>
      <name val="Times New Roman Cyr"/>
      <family val="1"/>
      <charset val="204"/>
    </font>
    <font>
      <sz val="10"/>
      <color indexed="10"/>
      <name val="Times New Roman Cyr"/>
      <family val="1"/>
      <charset val="204"/>
    </font>
    <font>
      <b/>
      <sz val="12"/>
      <name val="Times New Roman Cyr"/>
      <family val="1"/>
      <charset val="204"/>
    </font>
    <font>
      <b/>
      <sz val="11"/>
      <name val="Times New Roman Cyr"/>
      <family val="1"/>
      <charset val="204"/>
    </font>
    <font>
      <b/>
      <i/>
      <sz val="10"/>
      <name val="Times New Roman Cyr"/>
      <family val="1"/>
      <charset val="204"/>
    </font>
    <font>
      <b/>
      <i/>
      <u/>
      <sz val="12"/>
      <color indexed="18"/>
      <name val="Times New Roman Cyr"/>
      <charset val="204"/>
    </font>
    <font>
      <b/>
      <sz val="10"/>
      <color rgb="FF0070C0"/>
      <name val="Arial"/>
      <family val="2"/>
      <charset val="204"/>
    </font>
    <font>
      <b/>
      <sz val="8"/>
      <name val="Arial"/>
      <family val="2"/>
      <charset val="204"/>
    </font>
    <font>
      <b/>
      <sz val="10"/>
      <color rgb="FF00B050"/>
      <name val="Arial"/>
      <family val="2"/>
      <charset val="204"/>
    </font>
    <font>
      <b/>
      <sz val="9"/>
      <color rgb="FF00B050"/>
      <name val="Arial"/>
      <family val="2"/>
      <charset val="204"/>
    </font>
    <font>
      <b/>
      <sz val="10"/>
      <color theme="9" tint="-0.499984740745262"/>
      <name val="Arial"/>
      <family val="2"/>
      <charset val="204"/>
    </font>
    <font>
      <b/>
      <sz val="9"/>
      <color theme="9" tint="-0.499984740745262"/>
      <name val="Arial"/>
      <family val="2"/>
      <charset val="204"/>
    </font>
    <font>
      <b/>
      <sz val="10"/>
      <color rgb="FF7030A0"/>
      <name val="Arial"/>
      <family val="2"/>
      <charset val="204"/>
    </font>
    <font>
      <b/>
      <sz val="9"/>
      <color rgb="FF7030A0"/>
      <name val="Arial"/>
      <family val="2"/>
      <charset val="204"/>
    </font>
    <font>
      <b/>
      <sz val="9"/>
      <color rgb="FF0070C0"/>
      <name val="Arial"/>
      <family val="2"/>
      <charset val="204"/>
    </font>
    <font>
      <b/>
      <sz val="10"/>
      <color rgb="FF0033CC"/>
      <name val="Times New Roman Cyr"/>
      <charset val="204"/>
    </font>
    <font>
      <b/>
      <sz val="14"/>
      <color rgb="FF0033CC"/>
      <name val="Arial"/>
      <family val="2"/>
      <charset val="204"/>
    </font>
    <font>
      <sz val="7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color rgb="FFFF0000"/>
      <name val="Arial"/>
      <family val="2"/>
    </font>
    <font>
      <sz val="10"/>
      <name val="Times New Roman"/>
      <family val="1"/>
      <charset val="204"/>
    </font>
  </fonts>
  <fills count="1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46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7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5" xfId="0" applyFont="1" applyFill="1" applyBorder="1" applyAlignment="1">
      <alignment horizontal="center"/>
    </xf>
    <xf numFmtId="1" fontId="5" fillId="0" borderId="0" xfId="0" applyNumberFormat="1" applyFont="1" applyFill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1" fontId="5" fillId="0" borderId="0" xfId="0" applyNumberFormat="1" applyFont="1" applyAlignment="1">
      <alignment horizontal="center"/>
    </xf>
    <xf numFmtId="0" fontId="5" fillId="0" borderId="0" xfId="0" applyFont="1"/>
    <xf numFmtId="0" fontId="7" fillId="0" borderId="0" xfId="0" applyFont="1" applyAlignment="1">
      <alignment horizontal="center"/>
    </xf>
    <xf numFmtId="165" fontId="9" fillId="0" borderId="5" xfId="0" applyNumberFormat="1" applyFont="1" applyBorder="1" applyAlignment="1">
      <alignment horizontal="right"/>
    </xf>
    <xf numFmtId="0" fontId="5" fillId="0" borderId="0" xfId="0" applyFont="1" applyAlignment="1">
      <alignment horizontal="center"/>
    </xf>
    <xf numFmtId="2" fontId="13" fillId="0" borderId="0" xfId="0" applyNumberFormat="1" applyFont="1"/>
    <xf numFmtId="2" fontId="5" fillId="0" borderId="0" xfId="0" applyNumberFormat="1" applyFont="1"/>
    <xf numFmtId="0" fontId="5" fillId="0" borderId="0" xfId="0" applyFont="1" applyBorder="1"/>
    <xf numFmtId="165" fontId="5" fillId="0" borderId="0" xfId="0" applyNumberFormat="1" applyFont="1"/>
    <xf numFmtId="0" fontId="9" fillId="0" borderId="0" xfId="0" applyFont="1" applyAlignment="1">
      <alignment horizontal="right"/>
    </xf>
    <xf numFmtId="0" fontId="14" fillId="0" borderId="0" xfId="0" applyFont="1" applyAlignment="1"/>
    <xf numFmtId="0" fontId="9" fillId="0" borderId="0" xfId="0" applyFont="1" applyAlignme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5" fillId="0" borderId="0" xfId="0" applyFont="1" applyAlignment="1">
      <alignment horizontal="right" vertical="center"/>
    </xf>
    <xf numFmtId="164" fontId="9" fillId="0" borderId="0" xfId="0" applyNumberFormat="1" applyFont="1" applyAlignment="1"/>
    <xf numFmtId="0" fontId="9" fillId="0" borderId="5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5" xfId="0" applyFont="1" applyFill="1" applyBorder="1"/>
    <xf numFmtId="0" fontId="5" fillId="0" borderId="2" xfId="0" applyFont="1" applyFill="1" applyBorder="1" applyAlignment="1">
      <alignment horizontal="center"/>
    </xf>
    <xf numFmtId="165" fontId="5" fillId="0" borderId="2" xfId="0" applyNumberFormat="1" applyFont="1" applyFill="1" applyBorder="1" applyAlignment="1">
      <alignment vertical="center" wrapText="1"/>
    </xf>
    <xf numFmtId="165" fontId="5" fillId="0" borderId="5" xfId="0" applyNumberFormat="1" applyFont="1" applyBorder="1" applyAlignment="1">
      <alignment horizontal="right" vertical="center"/>
    </xf>
    <xf numFmtId="165" fontId="5" fillId="0" borderId="5" xfId="0" applyNumberFormat="1" applyFont="1" applyBorder="1"/>
    <xf numFmtId="0" fontId="5" fillId="0" borderId="5" xfId="0" applyFont="1" applyBorder="1" applyAlignment="1">
      <alignment horizontal="center"/>
    </xf>
    <xf numFmtId="165" fontId="15" fillId="0" borderId="0" xfId="0" applyNumberFormat="1" applyFont="1" applyBorder="1" applyAlignment="1">
      <alignment horizontal="left"/>
    </xf>
    <xf numFmtId="14" fontId="5" fillId="0" borderId="5" xfId="0" applyNumberFormat="1" applyFont="1" applyBorder="1" applyAlignment="1">
      <alignment horizontal="center"/>
    </xf>
    <xf numFmtId="0" fontId="9" fillId="0" borderId="5" xfId="0" applyFont="1" applyBorder="1"/>
    <xf numFmtId="165" fontId="9" fillId="0" borderId="5" xfId="0" applyNumberFormat="1" applyFont="1" applyFill="1" applyBorder="1"/>
    <xf numFmtId="165" fontId="9" fillId="0" borderId="5" xfId="0" applyNumberFormat="1" applyFont="1" applyBorder="1"/>
    <xf numFmtId="0" fontId="9" fillId="0" borderId="0" xfId="0" applyFont="1"/>
    <xf numFmtId="0" fontId="5" fillId="0" borderId="0" xfId="0" applyFont="1"/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6" fillId="0" borderId="0" xfId="0" applyFont="1" applyBorder="1"/>
    <xf numFmtId="0" fontId="17" fillId="0" borderId="1" xfId="0" applyFont="1" applyBorder="1" applyAlignment="1"/>
    <xf numFmtId="0" fontId="18" fillId="0" borderId="0" xfId="0" applyFont="1" applyBorder="1"/>
    <xf numFmtId="0" fontId="16" fillId="0" borderId="1" xfId="0" applyFont="1" applyBorder="1"/>
    <xf numFmtId="0" fontId="16" fillId="0" borderId="1" xfId="0" applyFont="1" applyBorder="1" applyAlignment="1"/>
    <xf numFmtId="0" fontId="19" fillId="0" borderId="0" xfId="0" applyFont="1" applyBorder="1" applyAlignment="1"/>
    <xf numFmtId="0" fontId="20" fillId="0" borderId="0" xfId="0" applyFont="1" applyBorder="1" applyAlignment="1">
      <alignment vertical="top"/>
    </xf>
    <xf numFmtId="0" fontId="21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Continuous" vertical="top"/>
    </xf>
    <xf numFmtId="0" fontId="21" fillId="0" borderId="7" xfId="0" applyFont="1" applyBorder="1" applyAlignment="1">
      <alignment horizontal="center" vertical="top"/>
    </xf>
    <xf numFmtId="0" fontId="21" fillId="0" borderId="0" xfId="0" applyFont="1" applyBorder="1" applyAlignment="1">
      <alignment vertical="top"/>
    </xf>
    <xf numFmtId="0" fontId="22" fillId="0" borderId="0" xfId="0" applyFont="1" applyBorder="1" applyAlignment="1">
      <alignment vertical="top"/>
    </xf>
    <xf numFmtId="0" fontId="23" fillId="0" borderId="0" xfId="0" applyFont="1" applyBorder="1" applyAlignment="1">
      <alignment vertical="top"/>
    </xf>
    <xf numFmtId="0" fontId="16" fillId="0" borderId="0" xfId="0" applyFont="1" applyBorder="1" applyAlignment="1">
      <alignment vertical="top"/>
    </xf>
    <xf numFmtId="0" fontId="21" fillId="0" borderId="0" xfId="0" applyFont="1" applyBorder="1" applyAlignment="1">
      <alignment horizontal="center" vertical="top"/>
    </xf>
    <xf numFmtId="0" fontId="18" fillId="0" borderId="0" xfId="0" applyFont="1" applyBorder="1" applyAlignment="1">
      <alignment vertical="top"/>
    </xf>
    <xf numFmtId="0" fontId="24" fillId="0" borderId="0" xfId="0" applyFont="1" applyBorder="1" applyAlignment="1">
      <alignment horizontal="right"/>
    </xf>
    <xf numFmtId="49" fontId="25" fillId="0" borderId="5" xfId="0" applyNumberFormat="1" applyFont="1" applyBorder="1" applyAlignment="1">
      <alignment horizontal="center"/>
    </xf>
    <xf numFmtId="0" fontId="1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wrapText="1"/>
    </xf>
    <xf numFmtId="49" fontId="16" fillId="0" borderId="0" xfId="0" applyNumberFormat="1" applyFont="1" applyBorder="1" applyAlignment="1">
      <alignment horizontal="right"/>
    </xf>
    <xf numFmtId="49" fontId="25" fillId="0" borderId="2" xfId="0" applyNumberFormat="1" applyFont="1" applyBorder="1" applyAlignment="1">
      <alignment horizontal="centerContinuous"/>
    </xf>
    <xf numFmtId="0" fontId="11" fillId="0" borderId="0" xfId="0" applyFont="1"/>
    <xf numFmtId="0" fontId="16" fillId="0" borderId="0" xfId="0" applyFont="1" applyBorder="1" applyAlignment="1">
      <alignment horizontal="right"/>
    </xf>
    <xf numFmtId="1" fontId="23" fillId="0" borderId="0" xfId="0" applyNumberFormat="1" applyFont="1" applyBorder="1" applyAlignment="1">
      <alignment horizontal="center"/>
    </xf>
    <xf numFmtId="49" fontId="29" fillId="0" borderId="1" xfId="0" applyNumberFormat="1" applyFont="1" applyBorder="1" applyAlignment="1"/>
    <xf numFmtId="0" fontId="30" fillId="0" borderId="1" xfId="0" applyFont="1" applyBorder="1" applyAlignment="1"/>
    <xf numFmtId="49" fontId="31" fillId="0" borderId="1" xfId="0" applyNumberFormat="1" applyFont="1" applyBorder="1" applyAlignment="1"/>
    <xf numFmtId="49" fontId="25" fillId="0" borderId="5" xfId="0" applyNumberFormat="1" applyFont="1" applyBorder="1" applyAlignment="1">
      <alignment horizontal="centerContinuous"/>
    </xf>
    <xf numFmtId="0" fontId="32" fillId="0" borderId="0" xfId="0" applyFont="1" applyBorder="1" applyAlignment="1"/>
    <xf numFmtId="0" fontId="30" fillId="0" borderId="0" xfId="0" applyFont="1" applyBorder="1" applyAlignment="1"/>
    <xf numFmtId="0" fontId="20" fillId="0" borderId="0" xfId="0" applyFont="1" applyBorder="1"/>
    <xf numFmtId="0" fontId="25" fillId="0" borderId="5" xfId="0" applyFont="1" applyBorder="1"/>
    <xf numFmtId="0" fontId="20" fillId="0" borderId="0" xfId="0" applyFont="1"/>
    <xf numFmtId="49" fontId="30" fillId="0" borderId="0" xfId="0" applyNumberFormat="1" applyFont="1" applyBorder="1" applyAlignment="1"/>
    <xf numFmtId="49" fontId="33" fillId="0" borderId="1" xfId="0" applyNumberFormat="1" applyFont="1" applyBorder="1" applyAlignment="1">
      <alignment horizontal="center"/>
    </xf>
    <xf numFmtId="49" fontId="33" fillId="0" borderId="1" xfId="0" applyNumberFormat="1" applyFont="1" applyBorder="1" applyAlignment="1"/>
    <xf numFmtId="49" fontId="33" fillId="0" borderId="1" xfId="0" applyNumberFormat="1" applyFont="1" applyBorder="1" applyAlignment="1">
      <alignment horizontal="left"/>
    </xf>
    <xf numFmtId="0" fontId="30" fillId="0" borderId="6" xfId="0" applyFont="1" applyBorder="1" applyAlignment="1"/>
    <xf numFmtId="49" fontId="30" fillId="0" borderId="6" xfId="0" applyNumberFormat="1" applyFont="1" applyBorder="1" applyAlignment="1">
      <alignment vertical="center"/>
    </xf>
    <xf numFmtId="49" fontId="20" fillId="0" borderId="0" xfId="0" applyNumberFormat="1" applyFont="1" applyBorder="1" applyAlignment="1"/>
    <xf numFmtId="0" fontId="23" fillId="0" borderId="8" xfId="0" applyFont="1" applyBorder="1"/>
    <xf numFmtId="0" fontId="16" fillId="0" borderId="8" xfId="0" applyFont="1" applyBorder="1"/>
    <xf numFmtId="0" fontId="25" fillId="0" borderId="6" xfId="0" applyFont="1" applyBorder="1"/>
    <xf numFmtId="0" fontId="18" fillId="0" borderId="0" xfId="0" applyFont="1"/>
    <xf numFmtId="0" fontId="35" fillId="0" borderId="0" xfId="0" applyFont="1" applyBorder="1" applyAlignment="1"/>
    <xf numFmtId="0" fontId="25" fillId="0" borderId="0" xfId="0" applyFont="1" applyBorder="1" applyAlignment="1"/>
    <xf numFmtId="0" fontId="25" fillId="0" borderId="0" xfId="0" applyFont="1" applyBorder="1"/>
    <xf numFmtId="0" fontId="21" fillId="0" borderId="5" xfId="0" applyFont="1" applyBorder="1" applyAlignment="1">
      <alignment horizontal="center" vertical="center"/>
    </xf>
    <xf numFmtId="0" fontId="36" fillId="0" borderId="0" xfId="0" applyFont="1" applyBorder="1" applyAlignment="1">
      <alignment vertical="center"/>
    </xf>
    <xf numFmtId="0" fontId="37" fillId="0" borderId="0" xfId="0" applyFont="1" applyBorder="1" applyAlignment="1">
      <alignment vertical="center"/>
    </xf>
    <xf numFmtId="0" fontId="38" fillId="0" borderId="5" xfId="0" applyFont="1" applyFill="1" applyBorder="1" applyAlignment="1">
      <alignment horizontal="center"/>
    </xf>
    <xf numFmtId="2" fontId="41" fillId="0" borderId="0" xfId="0" applyNumberFormat="1" applyFont="1" applyBorder="1"/>
    <xf numFmtId="0" fontId="38" fillId="0" borderId="0" xfId="0" applyFont="1" applyBorder="1"/>
    <xf numFmtId="2" fontId="38" fillId="0" borderId="0" xfId="0" applyNumberFormat="1" applyFont="1" applyBorder="1"/>
    <xf numFmtId="2" fontId="35" fillId="0" borderId="0" xfId="0" applyNumberFormat="1" applyFont="1" applyBorder="1"/>
    <xf numFmtId="2" fontId="25" fillId="0" borderId="0" xfId="0" applyNumberFormat="1" applyFont="1" applyBorder="1"/>
    <xf numFmtId="0" fontId="16" fillId="0" borderId="1" xfId="0" applyFont="1" applyBorder="1" applyAlignment="1">
      <alignment horizontal="left"/>
    </xf>
    <xf numFmtId="0" fontId="21" fillId="0" borderId="0" xfId="0" applyFont="1" applyBorder="1" applyAlignment="1">
      <alignment horizontal="centerContinuous" vertical="top"/>
    </xf>
    <xf numFmtId="0" fontId="38" fillId="3" borderId="0" xfId="0" applyFont="1" applyFill="1" applyBorder="1"/>
    <xf numFmtId="0" fontId="38" fillId="4" borderId="0" xfId="0" applyFont="1" applyFill="1" applyBorder="1"/>
    <xf numFmtId="0" fontId="38" fillId="0" borderId="0" xfId="0" applyFont="1" applyFill="1" applyBorder="1"/>
    <xf numFmtId="0" fontId="38" fillId="0" borderId="0" xfId="0" applyFont="1" applyFill="1"/>
    <xf numFmtId="0" fontId="38" fillId="0" borderId="0" xfId="0" applyFont="1"/>
    <xf numFmtId="0" fontId="38" fillId="0" borderId="0" xfId="0" applyFont="1" applyFill="1" applyBorder="1" applyAlignment="1">
      <alignment horizontal="center" textRotation="255"/>
    </xf>
    <xf numFmtId="0" fontId="38" fillId="5" borderId="0" xfId="0" applyFont="1" applyFill="1" applyBorder="1"/>
    <xf numFmtId="0" fontId="38" fillId="5" borderId="0" xfId="0" applyFont="1" applyFill="1"/>
    <xf numFmtId="0" fontId="25" fillId="5" borderId="0" xfId="0" applyFont="1" applyFill="1"/>
    <xf numFmtId="0" fontId="38" fillId="4" borderId="0" xfId="0" applyFont="1" applyFill="1" applyBorder="1" applyAlignment="1">
      <alignment horizontal="right"/>
    </xf>
    <xf numFmtId="0" fontId="25" fillId="0" borderId="0" xfId="0" applyFont="1" applyFill="1"/>
    <xf numFmtId="20" fontId="38" fillId="0" borderId="0" xfId="0" applyNumberFormat="1" applyFont="1" applyFill="1" applyBorder="1"/>
    <xf numFmtId="2" fontId="38" fillId="0" borderId="0" xfId="0" applyNumberFormat="1" applyFont="1" applyFill="1" applyBorder="1" applyAlignment="1">
      <alignment horizontal="center"/>
    </xf>
    <xf numFmtId="168" fontId="38" fillId="0" borderId="0" xfId="0" applyNumberFormat="1" applyFont="1" applyFill="1"/>
    <xf numFmtId="0" fontId="25" fillId="0" borderId="0" xfId="0" applyFont="1" applyBorder="1" applyAlignment="1">
      <alignment horizontal="center"/>
    </xf>
    <xf numFmtId="0" fontId="42" fillId="0" borderId="0" xfId="0" applyFont="1" applyBorder="1" applyAlignment="1">
      <alignment horizontal="centerContinuous"/>
    </xf>
    <xf numFmtId="0" fontId="43" fillId="0" borderId="0" xfId="0" applyFont="1" applyBorder="1"/>
    <xf numFmtId="165" fontId="1" fillId="0" borderId="0" xfId="0" applyNumberFormat="1" applyFont="1" applyAlignment="1">
      <alignment horizontal="right" vertical="center"/>
    </xf>
    <xf numFmtId="165" fontId="4" fillId="0" borderId="0" xfId="0" applyNumberFormat="1" applyFont="1" applyFill="1" applyAlignment="1">
      <alignment horizontal="right" vertical="center"/>
    </xf>
    <xf numFmtId="165" fontId="5" fillId="0" borderId="0" xfId="0" applyNumberFormat="1" applyFont="1" applyAlignment="1">
      <alignment horizontal="right" vertical="center"/>
    </xf>
    <xf numFmtId="165" fontId="9" fillId="0" borderId="0" xfId="0" applyNumberFormat="1" applyFont="1" applyAlignment="1">
      <alignment horizontal="right"/>
    </xf>
    <xf numFmtId="165" fontId="5" fillId="0" borderId="0" xfId="0" applyNumberFormat="1" applyFont="1" applyFill="1" applyAlignment="1">
      <alignment horizontal="right"/>
    </xf>
    <xf numFmtId="14" fontId="39" fillId="0" borderId="5" xfId="0" applyNumberFormat="1" applyFont="1" applyBorder="1" applyAlignment="1">
      <alignment horizontal="center" wrapText="1"/>
    </xf>
    <xf numFmtId="0" fontId="5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 applyAlignment="1">
      <alignment vertical="center"/>
    </xf>
    <xf numFmtId="0" fontId="1" fillId="0" borderId="0" xfId="0" applyFont="1" applyAlignment="1"/>
    <xf numFmtId="0" fontId="3" fillId="0" borderId="0" xfId="0" applyFont="1" applyAlignment="1">
      <alignment horizontal="center"/>
    </xf>
    <xf numFmtId="0" fontId="3" fillId="0" borderId="0" xfId="0" applyFont="1" applyAlignment="1"/>
    <xf numFmtId="0" fontId="1" fillId="0" borderId="0" xfId="0" applyFont="1" applyAlignment="1">
      <alignment horizontal="right"/>
    </xf>
    <xf numFmtId="0" fontId="8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3" fontId="9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165" fontId="12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center"/>
    </xf>
    <xf numFmtId="166" fontId="47" fillId="0" borderId="0" xfId="0" applyNumberFormat="1" applyFont="1" applyAlignment="1">
      <alignment horizontal="center"/>
    </xf>
    <xf numFmtId="0" fontId="6" fillId="0" borderId="0" xfId="0" applyFont="1" applyFill="1" applyAlignment="1">
      <alignment vertical="center"/>
    </xf>
    <xf numFmtId="165" fontId="9" fillId="0" borderId="5" xfId="0" applyNumberFormat="1" applyFont="1" applyFill="1" applyBorder="1" applyAlignment="1">
      <alignment horizontal="right"/>
    </xf>
    <xf numFmtId="0" fontId="9" fillId="0" borderId="0" xfId="0" applyFont="1" applyFill="1"/>
    <xf numFmtId="165" fontId="9" fillId="0" borderId="3" xfId="0" applyNumberFormat="1" applyFont="1" applyBorder="1" applyAlignment="1">
      <alignment horizontal="center" vertical="top" textRotation="90"/>
    </xf>
    <xf numFmtId="166" fontId="9" fillId="0" borderId="5" xfId="0" applyNumberFormat="1" applyFont="1" applyBorder="1" applyAlignment="1">
      <alignment horizontal="center" vertical="center"/>
    </xf>
    <xf numFmtId="165" fontId="9" fillId="0" borderId="5" xfId="0" applyNumberFormat="1" applyFont="1" applyBorder="1" applyAlignment="1">
      <alignment horizontal="right" vertical="center"/>
    </xf>
    <xf numFmtId="4" fontId="5" fillId="0" borderId="0" xfId="0" applyNumberFormat="1" applyFont="1" applyAlignment="1">
      <alignment horizontal="center" vertical="center" textRotation="90"/>
    </xf>
    <xf numFmtId="1" fontId="7" fillId="0" borderId="0" xfId="0" applyNumberFormat="1" applyFont="1" applyAlignment="1">
      <alignment horizontal="center"/>
    </xf>
    <xf numFmtId="0" fontId="5" fillId="0" borderId="7" xfId="0" applyFont="1" applyBorder="1" applyAlignment="1">
      <alignment horizontal="center"/>
    </xf>
    <xf numFmtId="0" fontId="8" fillId="0" borderId="5" xfId="0" applyFont="1" applyFill="1" applyBorder="1" applyAlignment="1">
      <alignment horizontal="center"/>
    </xf>
    <xf numFmtId="14" fontId="28" fillId="0" borderId="5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/>
    <xf numFmtId="166" fontId="7" fillId="0" borderId="0" xfId="0" applyNumberFormat="1" applyFont="1"/>
    <xf numFmtId="0" fontId="48" fillId="0" borderId="0" xfId="0" applyFont="1" applyAlignment="1">
      <alignment horizontal="right"/>
    </xf>
    <xf numFmtId="166" fontId="49" fillId="0" borderId="0" xfId="0" applyNumberFormat="1" applyFont="1"/>
    <xf numFmtId="0" fontId="50" fillId="0" borderId="0" xfId="0" applyFont="1" applyAlignment="1">
      <alignment horizontal="right"/>
    </xf>
    <xf numFmtId="166" fontId="51" fillId="0" borderId="0" xfId="0" applyNumberFormat="1" applyFont="1"/>
    <xf numFmtId="0" fontId="52" fillId="0" borderId="0" xfId="0" applyFont="1" applyAlignment="1">
      <alignment horizontal="right"/>
    </xf>
    <xf numFmtId="166" fontId="53" fillId="0" borderId="0" xfId="0" applyNumberFormat="1" applyFont="1"/>
    <xf numFmtId="0" fontId="46" fillId="0" borderId="0" xfId="0" applyFont="1" applyAlignment="1">
      <alignment horizontal="right"/>
    </xf>
    <xf numFmtId="166" fontId="54" fillId="0" borderId="0" xfId="0" applyNumberFormat="1" applyFont="1"/>
    <xf numFmtId="166" fontId="8" fillId="6" borderId="0" xfId="0" applyNumberFormat="1" applyFont="1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47" fillId="0" borderId="0" xfId="0" applyFont="1"/>
    <xf numFmtId="0" fontId="47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47" fillId="0" borderId="0" xfId="0" applyFont="1" applyAlignment="1">
      <alignment horizontal="center"/>
    </xf>
    <xf numFmtId="165" fontId="9" fillId="0" borderId="0" xfId="0" applyNumberFormat="1" applyFont="1" applyFill="1" applyAlignment="1">
      <alignment horizontal="right"/>
    </xf>
    <xf numFmtId="0" fontId="0" fillId="0" borderId="0" xfId="0" applyFill="1"/>
    <xf numFmtId="165" fontId="9" fillId="0" borderId="0" xfId="0" applyNumberFormat="1" applyFont="1" applyFill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166" fontId="10" fillId="0" borderId="5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5" fillId="0" borderId="5" xfId="0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textRotation="90"/>
    </xf>
    <xf numFmtId="165" fontId="5" fillId="0" borderId="5" xfId="0" applyNumberFormat="1" applyFont="1" applyBorder="1" applyAlignment="1">
      <alignment horizontal="center" vertical="center" textRotation="90"/>
    </xf>
    <xf numFmtId="0" fontId="9" fillId="0" borderId="5" xfId="0" applyFont="1" applyFill="1" applyBorder="1"/>
    <xf numFmtId="14" fontId="5" fillId="0" borderId="5" xfId="0" applyNumberFormat="1" applyFont="1" applyFill="1" applyBorder="1" applyAlignment="1">
      <alignment horizontal="center" wrapText="1"/>
    </xf>
    <xf numFmtId="14" fontId="5" fillId="0" borderId="5" xfId="1" applyNumberFormat="1" applyFont="1" applyFill="1" applyBorder="1" applyAlignment="1">
      <alignment horizontal="center"/>
    </xf>
    <xf numFmtId="166" fontId="5" fillId="0" borderId="5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right" vertical="center"/>
    </xf>
    <xf numFmtId="1" fontId="9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right"/>
    </xf>
    <xf numFmtId="165" fontId="9" fillId="0" borderId="5" xfId="0" applyNumberFormat="1" applyFont="1" applyBorder="1" applyAlignment="1">
      <alignment horizontal="center" vertical="top" textRotation="90"/>
    </xf>
    <xf numFmtId="165" fontId="9" fillId="0" borderId="5" xfId="0" applyNumberFormat="1" applyFont="1" applyBorder="1" applyAlignment="1">
      <alignment horizontal="center" vertical="center" textRotation="90"/>
    </xf>
    <xf numFmtId="0" fontId="5" fillId="0" borderId="5" xfId="0" applyFont="1" applyFill="1" applyBorder="1" applyAlignment="1">
      <alignment horizontal="center" wrapText="1"/>
    </xf>
    <xf numFmtId="0" fontId="9" fillId="0" borderId="5" xfId="0" applyFont="1" applyBorder="1" applyAlignment="1">
      <alignment horizontal="left"/>
    </xf>
    <xf numFmtId="14" fontId="5" fillId="0" borderId="3" xfId="0" applyNumberFormat="1" applyFont="1" applyFill="1" applyBorder="1" applyAlignment="1">
      <alignment horizontal="center" wrapText="1"/>
    </xf>
    <xf numFmtId="0" fontId="5" fillId="0" borderId="3" xfId="0" applyNumberFormat="1" applyFont="1" applyFill="1" applyBorder="1" applyAlignment="1">
      <alignment horizontal="center" wrapText="1"/>
    </xf>
    <xf numFmtId="0" fontId="5" fillId="0" borderId="3" xfId="0" applyFont="1" applyFill="1" applyBorder="1" applyAlignment="1">
      <alignment horizontal="center" wrapText="1"/>
    </xf>
    <xf numFmtId="0" fontId="43" fillId="0" borderId="0" xfId="0" applyFont="1" applyBorder="1"/>
    <xf numFmtId="0" fontId="38" fillId="0" borderId="0" xfId="0" applyFont="1" applyFill="1" applyBorder="1" applyAlignment="1">
      <alignment horizontal="center" textRotation="255"/>
    </xf>
    <xf numFmtId="2" fontId="38" fillId="0" borderId="0" xfId="0" applyNumberFormat="1" applyFont="1" applyFill="1" applyBorder="1" applyAlignment="1">
      <alignment horizontal="center"/>
    </xf>
    <xf numFmtId="0" fontId="8" fillId="0" borderId="5" xfId="0" applyFont="1" applyBorder="1" applyAlignment="1">
      <alignment horizontal="center" vertical="center" wrapText="1"/>
    </xf>
    <xf numFmtId="0" fontId="5" fillId="0" borderId="0" xfId="0" applyFont="1"/>
    <xf numFmtId="166" fontId="5" fillId="0" borderId="4" xfId="0" applyNumberFormat="1" applyFont="1" applyFill="1" applyBorder="1" applyAlignment="1">
      <alignment horizontal="center" vertical="center"/>
    </xf>
    <xf numFmtId="0" fontId="25" fillId="0" borderId="5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/>
    </xf>
    <xf numFmtId="0" fontId="39" fillId="0" borderId="5" xfId="0" applyNumberFormat="1" applyFont="1" applyBorder="1" applyAlignment="1"/>
    <xf numFmtId="0" fontId="5" fillId="0" borderId="5" xfId="0" applyFont="1" applyBorder="1"/>
    <xf numFmtId="0" fontId="42" fillId="0" borderId="5" xfId="0" applyFont="1" applyBorder="1" applyAlignment="1">
      <alignment horizontal="centerContinuous"/>
    </xf>
    <xf numFmtId="0" fontId="57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57" fillId="0" borderId="5" xfId="0" applyNumberFormat="1" applyFont="1" applyBorder="1" applyAlignment="1">
      <alignment horizontal="center"/>
    </xf>
    <xf numFmtId="2" fontId="5" fillId="0" borderId="0" xfId="0" applyNumberFormat="1" applyFont="1" applyFill="1" applyAlignment="1">
      <alignment horizontal="right"/>
    </xf>
    <xf numFmtId="1" fontId="9" fillId="0" borderId="5" xfId="0" applyNumberFormat="1" applyFont="1" applyFill="1" applyBorder="1" applyAlignment="1">
      <alignment horizontal="center" vertical="center"/>
    </xf>
    <xf numFmtId="0" fontId="5" fillId="0" borderId="0" xfId="0" applyFont="1"/>
    <xf numFmtId="165" fontId="58" fillId="0" borderId="0" xfId="0" applyNumberFormat="1" applyFont="1" applyBorder="1" applyAlignment="1">
      <alignment horizontal="left"/>
    </xf>
    <xf numFmtId="2" fontId="16" fillId="0" borderId="0" xfId="0" applyNumberFormat="1" applyFont="1" applyBorder="1"/>
    <xf numFmtId="0" fontId="59" fillId="0" borderId="0" xfId="0" applyFont="1" applyFill="1"/>
    <xf numFmtId="16" fontId="5" fillId="0" borderId="0" xfId="0" applyNumberFormat="1" applyFont="1" applyFill="1"/>
    <xf numFmtId="0" fontId="5" fillId="0" borderId="0" xfId="0" applyFont="1"/>
    <xf numFmtId="0" fontId="38" fillId="0" borderId="0" xfId="0" applyFont="1" applyFill="1" applyBorder="1" applyAlignment="1">
      <alignment horizontal="center" textRotation="255"/>
    </xf>
    <xf numFmtId="0" fontId="38" fillId="0" borderId="0" xfId="0" applyFont="1" applyFill="1" applyBorder="1" applyAlignment="1">
      <alignment horizontal="right"/>
    </xf>
    <xf numFmtId="0" fontId="18" fillId="0" borderId="0" xfId="0" applyFont="1" applyBorder="1" applyAlignment="1">
      <alignment vertical="center"/>
    </xf>
    <xf numFmtId="0" fontId="44" fillId="0" borderId="0" xfId="0" applyFont="1" applyBorder="1" applyAlignment="1"/>
    <xf numFmtId="0" fontId="43" fillId="0" borderId="0" xfId="0" applyFont="1" applyBorder="1"/>
    <xf numFmtId="0" fontId="38" fillId="0" borderId="0" xfId="0" applyFont="1" applyFill="1" applyBorder="1" applyAlignment="1">
      <alignment horizontal="center" textRotation="255"/>
    </xf>
    <xf numFmtId="2" fontId="38" fillId="0" borderId="0" xfId="0" applyNumberFormat="1" applyFont="1" applyFill="1" applyBorder="1" applyAlignment="1">
      <alignment horizontal="center"/>
    </xf>
    <xf numFmtId="0" fontId="21" fillId="0" borderId="5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5" fillId="0" borderId="0" xfId="0" applyFont="1"/>
    <xf numFmtId="0" fontId="16" fillId="0" borderId="0" xfId="0" applyFont="1" applyBorder="1"/>
    <xf numFmtId="165" fontId="40" fillId="0" borderId="5" xfId="0" applyNumberFormat="1" applyFont="1" applyBorder="1" applyAlignment="1">
      <alignment horizontal="center"/>
    </xf>
    <xf numFmtId="0" fontId="39" fillId="0" borderId="3" xfId="0" applyNumberFormat="1" applyFont="1" applyBorder="1" applyAlignment="1"/>
    <xf numFmtId="0" fontId="5" fillId="0" borderId="6" xfId="0" applyFont="1" applyBorder="1"/>
    <xf numFmtId="0" fontId="5" fillId="0" borderId="4" xfId="0" applyFont="1" applyBorder="1"/>
    <xf numFmtId="0" fontId="30" fillId="0" borderId="3" xfId="0" applyFont="1" applyBorder="1" applyAlignment="1">
      <alignment vertical="center"/>
    </xf>
    <xf numFmtId="0" fontId="30" fillId="0" borderId="6" xfId="0" applyFont="1" applyBorder="1" applyAlignment="1">
      <alignment vertical="center"/>
    </xf>
    <xf numFmtId="0" fontId="30" fillId="0" borderId="4" xfId="0" applyFont="1" applyBorder="1" applyAlignment="1">
      <alignment vertical="center"/>
    </xf>
    <xf numFmtId="0" fontId="5" fillId="0" borderId="0" xfId="0" applyFont="1"/>
    <xf numFmtId="0" fontId="60" fillId="0" borderId="0" xfId="0" applyFont="1" applyFill="1" applyBorder="1"/>
    <xf numFmtId="0" fontId="60" fillId="0" borderId="0" xfId="0" applyFont="1" applyBorder="1"/>
    <xf numFmtId="2" fontId="61" fillId="0" borderId="0" xfId="0" applyNumberFormat="1" applyFont="1" applyBorder="1"/>
    <xf numFmtId="0" fontId="61" fillId="0" borderId="0" xfId="0" applyFont="1" applyBorder="1"/>
    <xf numFmtId="1" fontId="62" fillId="0" borderId="0" xfId="0" applyNumberFormat="1" applyFont="1"/>
    <xf numFmtId="2" fontId="62" fillId="0" borderId="0" xfId="0" applyNumberFormat="1" applyFont="1"/>
    <xf numFmtId="0" fontId="62" fillId="0" borderId="0" xfId="0" applyFont="1"/>
    <xf numFmtId="0" fontId="60" fillId="0" borderId="0" xfId="0" applyFont="1"/>
    <xf numFmtId="1" fontId="63" fillId="0" borderId="0" xfId="0" applyNumberFormat="1" applyFont="1"/>
    <xf numFmtId="2" fontId="63" fillId="0" borderId="0" xfId="0" applyNumberFormat="1" applyFont="1"/>
    <xf numFmtId="0" fontId="61" fillId="0" borderId="5" xfId="0" applyFont="1" applyBorder="1"/>
    <xf numFmtId="0" fontId="61" fillId="0" borderId="10" xfId="0" applyFont="1" applyFill="1" applyBorder="1"/>
    <xf numFmtId="0" fontId="60" fillId="0" borderId="2" xfId="0" applyFont="1" applyBorder="1"/>
    <xf numFmtId="0" fontId="62" fillId="0" borderId="11" xfId="0" applyFont="1" applyBorder="1"/>
    <xf numFmtId="0" fontId="60" fillId="0" borderId="5" xfId="0" applyFont="1" applyBorder="1"/>
    <xf numFmtId="0" fontId="60" fillId="0" borderId="12" xfId="0" applyFont="1" applyBorder="1"/>
    <xf numFmtId="2" fontId="60" fillId="7" borderId="12" xfId="0" applyNumberFormat="1" applyFont="1" applyFill="1" applyBorder="1"/>
    <xf numFmtId="0" fontId="60" fillId="0" borderId="13" xfId="0" applyFont="1" applyBorder="1"/>
    <xf numFmtId="0" fontId="62" fillId="0" borderId="14" xfId="0" applyFont="1" applyBorder="1"/>
    <xf numFmtId="0" fontId="60" fillId="0" borderId="15" xfId="0" applyFont="1" applyBorder="1"/>
    <xf numFmtId="0" fontId="62" fillId="0" borderId="16" xfId="0" applyFont="1" applyBorder="1"/>
    <xf numFmtId="2" fontId="60" fillId="7" borderId="5" xfId="0" applyNumberFormat="1" applyFont="1" applyFill="1" applyBorder="1"/>
    <xf numFmtId="2" fontId="60" fillId="7" borderId="17" xfId="0" applyNumberFormat="1" applyFont="1" applyFill="1" applyBorder="1"/>
    <xf numFmtId="0" fontId="62" fillId="0" borderId="18" xfId="0" applyFont="1" applyBorder="1"/>
    <xf numFmtId="169" fontId="60" fillId="0" borderId="19" xfId="0" applyNumberFormat="1" applyFont="1" applyBorder="1"/>
    <xf numFmtId="0" fontId="60" fillId="0" borderId="19" xfId="0" applyFont="1" applyBorder="1"/>
    <xf numFmtId="2" fontId="60" fillId="7" borderId="19" xfId="0" applyNumberFormat="1" applyFont="1" applyFill="1" applyBorder="1"/>
    <xf numFmtId="2" fontId="60" fillId="8" borderId="20" xfId="0" applyNumberFormat="1" applyFont="1" applyFill="1" applyBorder="1"/>
    <xf numFmtId="0" fontId="60" fillId="8" borderId="21" xfId="0" applyFont="1" applyFill="1" applyBorder="1"/>
    <xf numFmtId="2" fontId="60" fillId="9" borderId="21" xfId="0" applyNumberFormat="1" applyFont="1" applyFill="1" applyBorder="1"/>
    <xf numFmtId="0" fontId="60" fillId="8" borderId="5" xfId="0" applyFont="1" applyFill="1" applyBorder="1"/>
    <xf numFmtId="2" fontId="60" fillId="9" borderId="5" xfId="0" applyNumberFormat="1" applyFont="1" applyFill="1" applyBorder="1"/>
    <xf numFmtId="2" fontId="60" fillId="9" borderId="17" xfId="0" applyNumberFormat="1" applyFont="1" applyFill="1" applyBorder="1"/>
    <xf numFmtId="2" fontId="60" fillId="8" borderId="19" xfId="0" applyNumberFormat="1" applyFont="1" applyFill="1" applyBorder="1"/>
    <xf numFmtId="0" fontId="60" fillId="8" borderId="19" xfId="0" applyFont="1" applyFill="1" applyBorder="1"/>
    <xf numFmtId="2" fontId="60" fillId="9" borderId="19" xfId="0" applyNumberFormat="1" applyFont="1" applyFill="1" applyBorder="1"/>
    <xf numFmtId="0" fontId="60" fillId="0" borderId="20" xfId="0" applyFont="1" applyBorder="1"/>
    <xf numFmtId="2" fontId="60" fillId="10" borderId="12" xfId="0" applyNumberFormat="1" applyFont="1" applyFill="1" applyBorder="1"/>
    <xf numFmtId="0" fontId="60" fillId="8" borderId="13" xfId="0" applyFont="1" applyFill="1" applyBorder="1"/>
    <xf numFmtId="0" fontId="60" fillId="8" borderId="15" xfId="0" applyFont="1" applyFill="1" applyBorder="1"/>
    <xf numFmtId="2" fontId="60" fillId="10" borderId="5" xfId="0" applyNumberFormat="1" applyFont="1" applyFill="1" applyBorder="1"/>
    <xf numFmtId="0" fontId="60" fillId="8" borderId="17" xfId="0" applyFont="1" applyFill="1" applyBorder="1"/>
    <xf numFmtId="2" fontId="60" fillId="10" borderId="17" xfId="0" applyNumberFormat="1" applyFont="1" applyFill="1" applyBorder="1"/>
    <xf numFmtId="2" fontId="60" fillId="6" borderId="12" xfId="0" applyNumberFormat="1" applyFont="1" applyFill="1" applyBorder="1"/>
    <xf numFmtId="0" fontId="62" fillId="0" borderId="22" xfId="0" applyFont="1" applyBorder="1"/>
    <xf numFmtId="0" fontId="60" fillId="0" borderId="23" xfId="0" applyFont="1" applyBorder="1"/>
    <xf numFmtId="0" fontId="62" fillId="0" borderId="5" xfId="0" applyFont="1" applyBorder="1"/>
    <xf numFmtId="2" fontId="60" fillId="6" borderId="5" xfId="0" applyNumberFormat="1" applyFont="1" applyFill="1" applyBorder="1"/>
    <xf numFmtId="2" fontId="0" fillId="8" borderId="0" xfId="0" applyNumberFormat="1" applyFill="1"/>
    <xf numFmtId="0" fontId="62" fillId="0" borderId="2" xfId="0" applyFont="1" applyBorder="1"/>
    <xf numFmtId="2" fontId="60" fillId="0" borderId="2" xfId="0" applyNumberFormat="1" applyFont="1" applyBorder="1"/>
    <xf numFmtId="2" fontId="60" fillId="6" borderId="2" xfId="0" applyNumberFormat="1" applyFont="1" applyFill="1" applyBorder="1"/>
    <xf numFmtId="0" fontId="64" fillId="0" borderId="0" xfId="0" applyFont="1"/>
    <xf numFmtId="2" fontId="60" fillId="11" borderId="12" xfId="0" applyNumberFormat="1" applyFont="1" applyFill="1" applyBorder="1"/>
    <xf numFmtId="2" fontId="60" fillId="11" borderId="19" xfId="0" applyNumberFormat="1" applyFont="1" applyFill="1" applyBorder="1"/>
    <xf numFmtId="2" fontId="60" fillId="11" borderId="20" xfId="0" applyNumberFormat="1" applyFont="1" applyFill="1" applyBorder="1"/>
    <xf numFmtId="0" fontId="0" fillId="8" borderId="0" xfId="0" applyFill="1"/>
    <xf numFmtId="0" fontId="60" fillId="8" borderId="24" xfId="0" applyFont="1" applyFill="1" applyBorder="1"/>
    <xf numFmtId="1" fontId="61" fillId="8" borderId="24" xfId="0" applyNumberFormat="1" applyFont="1" applyFill="1" applyBorder="1"/>
    <xf numFmtId="2" fontId="61" fillId="8" borderId="24" xfId="0" applyNumberFormat="1" applyFont="1" applyFill="1" applyBorder="1"/>
    <xf numFmtId="2" fontId="60" fillId="8" borderId="9" xfId="0" applyNumberFormat="1" applyFont="1" applyFill="1" applyBorder="1"/>
    <xf numFmtId="1" fontId="62" fillId="8" borderId="0" xfId="0" applyNumberFormat="1" applyFont="1" applyFill="1"/>
    <xf numFmtId="2" fontId="62" fillId="8" borderId="0" xfId="0" applyNumberFormat="1" applyFont="1" applyFill="1"/>
    <xf numFmtId="0" fontId="62" fillId="8" borderId="0" xfId="0" applyFont="1" applyFill="1"/>
    <xf numFmtId="0" fontId="63" fillId="8" borderId="10" xfId="0" applyFont="1" applyFill="1" applyBorder="1" applyAlignment="1">
      <alignment horizontal="right"/>
    </xf>
    <xf numFmtId="0" fontId="65" fillId="0" borderId="0" xfId="0" applyFont="1"/>
    <xf numFmtId="0" fontId="65" fillId="0" borderId="5" xfId="0" applyFont="1" applyBorder="1" applyAlignment="1">
      <alignment horizontal="center"/>
    </xf>
    <xf numFmtId="0" fontId="65" fillId="0" borderId="5" xfId="0" applyFont="1" applyFill="1" applyBorder="1" applyAlignment="1">
      <alignment horizontal="center"/>
    </xf>
    <xf numFmtId="0" fontId="5" fillId="0" borderId="5" xfId="0" applyFont="1" applyBorder="1"/>
    <xf numFmtId="0" fontId="0" fillId="0" borderId="0" xfId="0" applyFont="1"/>
    <xf numFmtId="0" fontId="0" fillId="0" borderId="5" xfId="0" applyFont="1" applyBorder="1"/>
    <xf numFmtId="0" fontId="5" fillId="0" borderId="21" xfId="0" applyFont="1" applyFill="1" applyBorder="1" applyAlignment="1">
      <alignment horizontal="center"/>
    </xf>
    <xf numFmtId="0" fontId="5" fillId="0" borderId="21" xfId="0" applyFont="1" applyFill="1" applyBorder="1"/>
    <xf numFmtId="0" fontId="5" fillId="0" borderId="21" xfId="0" applyFont="1" applyFill="1" applyBorder="1" applyAlignment="1">
      <alignment vertical="top" wrapText="1"/>
    </xf>
    <xf numFmtId="14" fontId="5" fillId="0" borderId="5" xfId="0" applyNumberFormat="1" applyFont="1" applyBorder="1" applyAlignment="1">
      <alignment horizontal="center" wrapText="1"/>
    </xf>
    <xf numFmtId="0" fontId="5" fillId="0" borderId="5" xfId="0" applyNumberFormat="1" applyFont="1" applyFill="1" applyBorder="1" applyAlignment="1">
      <alignment vertical="top" wrapText="1"/>
    </xf>
    <xf numFmtId="14" fontId="5" fillId="0" borderId="5" xfId="0" applyNumberFormat="1" applyFont="1" applyFill="1" applyBorder="1" applyAlignment="1">
      <alignment horizontal="center"/>
    </xf>
    <xf numFmtId="14" fontId="5" fillId="0" borderId="5" xfId="0" applyNumberFormat="1" applyFont="1" applyBorder="1" applyAlignment="1">
      <alignment horizontal="center" vertical="center" wrapText="1"/>
    </xf>
    <xf numFmtId="14" fontId="66" fillId="0" borderId="5" xfId="0" applyNumberFormat="1" applyFont="1" applyBorder="1" applyAlignment="1">
      <alignment horizontal="center" vertical="center" wrapText="1"/>
    </xf>
    <xf numFmtId="0" fontId="5" fillId="12" borderId="5" xfId="0" applyFont="1" applyFill="1" applyBorder="1" applyAlignment="1">
      <alignment vertical="center" wrapText="1"/>
    </xf>
    <xf numFmtId="0" fontId="5" fillId="0" borderId="5" xfId="0" applyNumberFormat="1" applyFont="1" applyBorder="1" applyAlignment="1">
      <alignment vertical="top" wrapText="1"/>
    </xf>
    <xf numFmtId="0" fontId="59" fillId="0" borderId="5" xfId="0" applyFont="1" applyBorder="1"/>
    <xf numFmtId="0" fontId="5" fillId="0" borderId="5" xfId="0" applyFont="1" applyFill="1" applyBorder="1" applyAlignment="1">
      <alignment vertical="center" wrapText="1"/>
    </xf>
    <xf numFmtId="0" fontId="5" fillId="13" borderId="5" xfId="0" applyFont="1" applyFill="1" applyBorder="1"/>
    <xf numFmtId="0" fontId="5" fillId="13" borderId="5" xfId="0" applyFont="1" applyFill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13" borderId="21" xfId="0" applyFont="1" applyFill="1" applyBorder="1" applyAlignment="1">
      <alignment vertical="center" wrapText="1"/>
    </xf>
    <xf numFmtId="0" fontId="5" fillId="0" borderId="2" xfId="0" applyFont="1" applyBorder="1" applyAlignment="1">
      <alignment horizontal="center"/>
    </xf>
    <xf numFmtId="0" fontId="5" fillId="13" borderId="2" xfId="0" applyFont="1" applyFill="1" applyBorder="1" applyAlignment="1">
      <alignment vertical="center" wrapText="1"/>
    </xf>
    <xf numFmtId="0" fontId="5" fillId="0" borderId="2" xfId="0" applyFont="1" applyBorder="1"/>
    <xf numFmtId="14" fontId="5" fillId="0" borderId="2" xfId="0" applyNumberFormat="1" applyFont="1" applyBorder="1" applyAlignment="1">
      <alignment horizontal="center"/>
    </xf>
    <xf numFmtId="0" fontId="5" fillId="0" borderId="21" xfId="0" applyFont="1" applyBorder="1"/>
    <xf numFmtId="0" fontId="5" fillId="0" borderId="22" xfId="0" applyFont="1" applyBorder="1"/>
    <xf numFmtId="14" fontId="5" fillId="0" borderId="21" xfId="0" applyNumberFormat="1" applyFont="1" applyBorder="1" applyAlignment="1">
      <alignment horizontal="center"/>
    </xf>
    <xf numFmtId="0" fontId="5" fillId="0" borderId="5" xfId="0" applyFont="1" applyFill="1" applyBorder="1" applyAlignment="1">
      <alignment vertical="top"/>
    </xf>
    <xf numFmtId="0" fontId="5" fillId="0" borderId="5" xfId="0" applyFont="1" applyBorder="1" applyAlignment="1">
      <alignment vertical="top"/>
    </xf>
    <xf numFmtId="14" fontId="5" fillId="0" borderId="5" xfId="0" applyNumberFormat="1" applyFont="1" applyBorder="1" applyAlignment="1">
      <alignment horizontal="center" vertical="top"/>
    </xf>
    <xf numFmtId="14" fontId="5" fillId="0" borderId="5" xfId="0" applyNumberFormat="1" applyFont="1" applyFill="1" applyBorder="1" applyAlignment="1">
      <alignment horizontal="center" vertical="center" wrapText="1"/>
    </xf>
    <xf numFmtId="14" fontId="5" fillId="0" borderId="5" xfId="0" applyNumberFormat="1" applyFont="1" applyFill="1" applyBorder="1"/>
    <xf numFmtId="14" fontId="5" fillId="0" borderId="2" xfId="0" applyNumberFormat="1" applyFont="1" applyFill="1" applyBorder="1" applyAlignment="1">
      <alignment horizontal="center"/>
    </xf>
    <xf numFmtId="0" fontId="5" fillId="0" borderId="2" xfId="0" applyFont="1" applyFill="1" applyBorder="1"/>
    <xf numFmtId="14" fontId="5" fillId="0" borderId="24" xfId="0" applyNumberFormat="1" applyFont="1" applyFill="1" applyBorder="1" applyAlignment="1">
      <alignment horizontal="center"/>
    </xf>
    <xf numFmtId="14" fontId="5" fillId="0" borderId="5" xfId="0" applyNumberFormat="1" applyFont="1" applyFill="1" applyBorder="1" applyAlignment="1">
      <alignment horizontal="center" vertical="center"/>
    </xf>
    <xf numFmtId="0" fontId="0" fillId="0" borderId="5" xfId="0" applyFont="1" applyFill="1" applyBorder="1"/>
    <xf numFmtId="14" fontId="5" fillId="0" borderId="5" xfId="0" applyNumberFormat="1" applyFont="1" applyFill="1" applyBorder="1" applyAlignment="1">
      <alignment horizontal="center" vertical="top"/>
    </xf>
    <xf numFmtId="0" fontId="5" fillId="0" borderId="5" xfId="0" applyFont="1" applyFill="1" applyBorder="1" applyAlignment="1">
      <alignment horizontal="left" vertical="center"/>
    </xf>
    <xf numFmtId="0" fontId="5" fillId="0" borderId="0" xfId="0" applyNumberFormat="1" applyFont="1" applyBorder="1" applyAlignment="1">
      <alignment vertical="top" wrapText="1"/>
    </xf>
    <xf numFmtId="0" fontId="5" fillId="0" borderId="2" xfId="0" applyNumberFormat="1" applyFont="1" applyBorder="1" applyAlignment="1">
      <alignment vertical="top" wrapText="1"/>
    </xf>
    <xf numFmtId="0" fontId="5" fillId="0" borderId="3" xfId="0" applyFont="1" applyBorder="1" applyAlignment="1">
      <alignment horizontal="center"/>
    </xf>
    <xf numFmtId="0" fontId="5" fillId="0" borderId="21" xfId="0" applyNumberFormat="1" applyFont="1" applyBorder="1" applyAlignment="1">
      <alignment vertical="top" wrapText="1"/>
    </xf>
    <xf numFmtId="0" fontId="5" fillId="0" borderId="4" xfId="0" applyNumberFormat="1" applyFont="1" applyBorder="1" applyAlignment="1">
      <alignment vertical="top" wrapText="1"/>
    </xf>
    <xf numFmtId="0" fontId="5" fillId="0" borderId="4" xfId="0" applyNumberFormat="1" applyFont="1" applyFill="1" applyBorder="1" applyAlignment="1">
      <alignment vertical="top" wrapText="1"/>
    </xf>
    <xf numFmtId="0" fontId="5" fillId="0" borderId="25" xfId="0" applyFont="1" applyBorder="1"/>
    <xf numFmtId="0" fontId="5" fillId="0" borderId="26" xfId="0" applyFont="1" applyBorder="1"/>
    <xf numFmtId="14" fontId="5" fillId="0" borderId="5" xfId="0" applyNumberFormat="1" applyFont="1" applyBorder="1" applyAlignment="1">
      <alignment horizontal="center" vertical="center"/>
    </xf>
    <xf numFmtId="14" fontId="5" fillId="0" borderId="5" xfId="0" applyNumberFormat="1" applyFont="1" applyBorder="1"/>
    <xf numFmtId="0" fontId="5" fillId="0" borderId="5" xfId="0" applyFont="1" applyBorder="1" applyAlignment="1">
      <alignment horizontal="left"/>
    </xf>
    <xf numFmtId="0" fontId="66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/>
    </xf>
    <xf numFmtId="0" fontId="66" fillId="0" borderId="5" xfId="0" applyFont="1" applyBorder="1" applyAlignment="1">
      <alignment vertical="center" wrapText="1"/>
    </xf>
    <xf numFmtId="0" fontId="0" fillId="0" borderId="21" xfId="0" applyFont="1" applyBorder="1"/>
    <xf numFmtId="0" fontId="67" fillId="0" borderId="21" xfId="0" applyFont="1" applyBorder="1"/>
    <xf numFmtId="14" fontId="0" fillId="0" borderId="21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14" fontId="0" fillId="0" borderId="5" xfId="0" applyNumberFormat="1" applyFont="1" applyBorder="1" applyAlignment="1">
      <alignment horizontal="center"/>
    </xf>
    <xf numFmtId="14" fontId="0" fillId="0" borderId="5" xfId="0" applyNumberFormat="1" applyFont="1" applyBorder="1" applyAlignment="1">
      <alignment horizontal="center" vertical="center"/>
    </xf>
    <xf numFmtId="14" fontId="0" fillId="0" borderId="5" xfId="0" applyNumberFormat="1" applyFont="1" applyBorder="1"/>
    <xf numFmtId="0" fontId="0" fillId="0" borderId="2" xfId="0" applyFont="1" applyBorder="1"/>
    <xf numFmtId="0" fontId="5" fillId="0" borderId="27" xfId="0" applyFont="1" applyBorder="1"/>
    <xf numFmtId="14" fontId="0" fillId="0" borderId="2" xfId="0" applyNumberFormat="1" applyFont="1" applyBorder="1" applyAlignment="1">
      <alignment horizontal="center"/>
    </xf>
    <xf numFmtId="14" fontId="68" fillId="0" borderId="5" xfId="0" applyNumberFormat="1" applyFont="1" applyBorder="1" applyAlignment="1">
      <alignment horizontal="center" vertical="center" wrapText="1"/>
    </xf>
    <xf numFmtId="0" fontId="0" fillId="0" borderId="5" xfId="0" applyFont="1" applyBorder="1" applyAlignment="1">
      <alignment vertical="top"/>
    </xf>
    <xf numFmtId="0" fontId="0" fillId="0" borderId="5" xfId="0" applyNumberFormat="1" applyFont="1" applyFill="1" applyBorder="1" applyAlignment="1">
      <alignment vertical="top" wrapText="1"/>
    </xf>
    <xf numFmtId="14" fontId="0" fillId="0" borderId="5" xfId="0" applyNumberFormat="1" applyFont="1" applyFill="1" applyBorder="1" applyAlignment="1">
      <alignment horizontal="center"/>
    </xf>
    <xf numFmtId="0" fontId="0" fillId="0" borderId="0" xfId="0" applyFont="1" applyFill="1"/>
    <xf numFmtId="0" fontId="5" fillId="0" borderId="5" xfId="0" applyFont="1" applyFill="1" applyBorder="1" applyAlignment="1">
      <alignment horizontal="left" vertical="center" wrapText="1"/>
    </xf>
    <xf numFmtId="0" fontId="5" fillId="0" borderId="0" xfId="0" applyNumberFormat="1" applyFont="1" applyFill="1" applyBorder="1" applyAlignment="1">
      <alignment vertical="top" wrapText="1"/>
    </xf>
    <xf numFmtId="0" fontId="0" fillId="0" borderId="10" xfId="0" applyFont="1" applyBorder="1" applyAlignment="1"/>
    <xf numFmtId="0" fontId="0" fillId="0" borderId="5" xfId="0" applyFont="1" applyBorder="1" applyAlignment="1"/>
    <xf numFmtId="0" fontId="65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39" fillId="0" borderId="3" xfId="0" applyNumberFormat="1" applyFont="1" applyBorder="1" applyAlignment="1">
      <alignment horizontal="left"/>
    </xf>
    <xf numFmtId="0" fontId="39" fillId="0" borderId="6" xfId="0" applyNumberFormat="1" applyFont="1" applyBorder="1" applyAlignment="1">
      <alignment horizontal="left"/>
    </xf>
    <xf numFmtId="0" fontId="39" fillId="0" borderId="4" xfId="0" applyNumberFormat="1" applyFont="1" applyBorder="1" applyAlignment="1">
      <alignment horizontal="left"/>
    </xf>
    <xf numFmtId="165" fontId="40" fillId="0" borderId="3" xfId="0" applyNumberFormat="1" applyFont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165" fontId="40" fillId="0" borderId="4" xfId="0" applyNumberFormat="1" applyFont="1" applyBorder="1" applyAlignment="1">
      <alignment horizontal="center"/>
    </xf>
    <xf numFmtId="0" fontId="39" fillId="0" borderId="5" xfId="0" applyNumberFormat="1" applyFont="1" applyBorder="1" applyAlignment="1"/>
    <xf numFmtId="0" fontId="5" fillId="0" borderId="5" xfId="0" applyFont="1" applyBorder="1"/>
    <xf numFmtId="0" fontId="39" fillId="0" borderId="5" xfId="0" applyNumberFormat="1" applyFont="1" applyBorder="1" applyAlignment="1">
      <alignment horizontal="left"/>
    </xf>
    <xf numFmtId="165" fontId="40" fillId="0" borderId="5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1" fillId="0" borderId="5" xfId="0" applyFont="1" applyBorder="1" applyAlignment="1">
      <alignment horizontal="center" vertical="center"/>
    </xf>
    <xf numFmtId="167" fontId="27" fillId="0" borderId="1" xfId="0" applyNumberFormat="1" applyFont="1" applyBorder="1" applyAlignment="1">
      <alignment horizontal="center"/>
    </xf>
    <xf numFmtId="0" fontId="20" fillId="0" borderId="0" xfId="0" applyFont="1" applyAlignment="1">
      <alignment horizontal="left" wrapText="1"/>
    </xf>
    <xf numFmtId="49" fontId="29" fillId="0" borderId="6" xfId="0" applyNumberFormat="1" applyFont="1" applyBorder="1" applyAlignment="1">
      <alignment horizontal="left"/>
    </xf>
    <xf numFmtId="0" fontId="25" fillId="0" borderId="5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 wrapText="1"/>
    </xf>
    <xf numFmtId="0" fontId="43" fillId="0" borderId="0" xfId="0" applyFont="1" applyBorder="1"/>
    <xf numFmtId="0" fontId="43" fillId="0" borderId="3" xfId="0" applyFont="1" applyBorder="1" applyAlignment="1">
      <alignment horizontal="left"/>
    </xf>
    <xf numFmtId="0" fontId="43" fillId="0" borderId="6" xfId="0" applyFont="1" applyBorder="1" applyAlignment="1">
      <alignment horizontal="left"/>
    </xf>
    <xf numFmtId="0" fontId="43" fillId="0" borderId="4" xfId="0" applyFont="1" applyBorder="1" applyAlignment="1">
      <alignment horizontal="left"/>
    </xf>
    <xf numFmtId="4" fontId="38" fillId="0" borderId="0" xfId="0" applyNumberFormat="1" applyFont="1" applyFill="1" applyBorder="1" applyAlignment="1">
      <alignment horizontal="center"/>
    </xf>
    <xf numFmtId="0" fontId="44" fillId="0" borderId="0" xfId="0" applyFont="1" applyBorder="1" applyAlignment="1">
      <alignment horizontal="center"/>
    </xf>
    <xf numFmtId="4" fontId="38" fillId="2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 textRotation="255"/>
    </xf>
    <xf numFmtId="2" fontId="38" fillId="0" borderId="0" xfId="0" applyNumberFormat="1" applyFont="1" applyFill="1" applyBorder="1" applyAlignment="1">
      <alignment horizontal="center"/>
    </xf>
    <xf numFmtId="4" fontId="38" fillId="0" borderId="0" xfId="0" applyNumberFormat="1" applyFont="1" applyFill="1" applyBorder="1" applyAlignment="1">
      <alignment horizontal="left"/>
    </xf>
    <xf numFmtId="165" fontId="43" fillId="0" borderId="5" xfId="0" applyNumberFormat="1" applyFont="1" applyBorder="1" applyAlignment="1">
      <alignment horizontal="center"/>
    </xf>
    <xf numFmtId="4" fontId="38" fillId="2" borderId="0" xfId="0" applyNumberFormat="1" applyFont="1" applyFill="1" applyBorder="1" applyAlignment="1">
      <alignment horizontal="left"/>
    </xf>
    <xf numFmtId="0" fontId="45" fillId="0" borderId="0" xfId="0" applyFont="1" applyBorder="1" applyAlignment="1">
      <alignment horizontal="left"/>
    </xf>
    <xf numFmtId="0" fontId="56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9" fillId="0" borderId="3" xfId="0" applyNumberFormat="1" applyFont="1" applyBorder="1" applyAlignment="1"/>
    <xf numFmtId="0" fontId="0" fillId="0" borderId="6" xfId="0" applyBorder="1" applyAlignment="1"/>
    <xf numFmtId="0" fontId="0" fillId="0" borderId="4" xfId="0" applyBorder="1" applyAlignment="1"/>
    <xf numFmtId="0" fontId="5" fillId="0" borderId="0" xfId="0" applyFont="1"/>
    <xf numFmtId="0" fontId="14" fillId="0" borderId="0" xfId="0" applyFont="1" applyAlignment="1">
      <alignment horizontal="center"/>
    </xf>
    <xf numFmtId="165" fontId="58" fillId="0" borderId="9" xfId="0" applyNumberFormat="1" applyFont="1" applyBorder="1" applyAlignment="1">
      <alignment horizontal="center"/>
    </xf>
    <xf numFmtId="165" fontId="58" fillId="0" borderId="0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4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0" fillId="0" borderId="6" xfId="0" applyFont="1" applyBorder="1" applyAlignment="1">
      <alignment horizontal="left" vertical="center"/>
    </xf>
    <xf numFmtId="0" fontId="30" fillId="0" borderId="4" xfId="0" applyFont="1" applyBorder="1" applyAlignment="1">
      <alignment horizontal="left" vertical="center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2" fontId="30" fillId="0" borderId="3" xfId="0" applyNumberFormat="1" applyFont="1" applyBorder="1" applyAlignment="1">
      <alignment horizontal="center" vertical="center"/>
    </xf>
    <xf numFmtId="2" fontId="30" fillId="0" borderId="6" xfId="0" applyNumberFormat="1" applyFont="1" applyBorder="1" applyAlignment="1">
      <alignment horizontal="center" vertical="center"/>
    </xf>
    <xf numFmtId="2" fontId="30" fillId="0" borderId="4" xfId="0" applyNumberFormat="1" applyFont="1" applyBorder="1" applyAlignment="1">
      <alignment horizontal="center" vertical="center"/>
    </xf>
    <xf numFmtId="0" fontId="16" fillId="0" borderId="0" xfId="0" applyFont="1" applyBorder="1"/>
    <xf numFmtId="0" fontId="16" fillId="0" borderId="0" xfId="0" applyFont="1" applyAlignment="1"/>
    <xf numFmtId="165" fontId="43" fillId="0" borderId="6" xfId="0" applyNumberFormat="1" applyFont="1" applyBorder="1" applyAlignment="1">
      <alignment horizontal="center"/>
    </xf>
    <xf numFmtId="165" fontId="43" fillId="0" borderId="4" xfId="0" applyNumberFormat="1" applyFont="1" applyBorder="1" applyAlignment="1">
      <alignment horizontal="center"/>
    </xf>
    <xf numFmtId="0" fontId="8" fillId="0" borderId="21" xfId="0" applyFont="1" applyFill="1" applyBorder="1" applyAlignment="1">
      <alignment horizontal="center"/>
    </xf>
    <xf numFmtId="0" fontId="9" fillId="0" borderId="21" xfId="0" applyFont="1" applyFill="1" applyBorder="1"/>
    <xf numFmtId="14" fontId="5" fillId="0" borderId="21" xfId="0" applyNumberFormat="1" applyFont="1" applyFill="1" applyBorder="1" applyAlignment="1">
      <alignment horizontal="center" wrapText="1"/>
    </xf>
    <xf numFmtId="14" fontId="5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5" xfId="0" applyNumberFormat="1" applyFont="1" applyFill="1" applyBorder="1" applyAlignment="1">
      <alignment horizontal="center" wrapText="1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</xdr:row>
          <xdr:rowOff>85725</xdr:rowOff>
        </xdr:from>
        <xdr:to>
          <xdr:col>10</xdr:col>
          <xdr:colOff>76200</xdr:colOff>
          <xdr:row>4</xdr:row>
          <xdr:rowOff>47625</xdr:rowOff>
        </xdr:to>
        <xdr:sp macro="" textlink="">
          <xdr:nvSpPr>
            <xdr:cNvPr id="1027" name="FilterBt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2</xdr:row>
          <xdr:rowOff>114300</xdr:rowOff>
        </xdr:from>
        <xdr:to>
          <xdr:col>12</xdr:col>
          <xdr:colOff>409575</xdr:colOff>
          <xdr:row>4</xdr:row>
          <xdr:rowOff>47625</xdr:rowOff>
        </xdr:to>
        <xdr:sp macro="" textlink="">
          <xdr:nvSpPr>
            <xdr:cNvPr id="1034" name="Reset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R411"/>
  <sheetViews>
    <sheetView tabSelected="1" topLeftCell="A49" zoomScaleNormal="100" workbookViewId="0">
      <selection activeCell="C4" sqref="C4"/>
    </sheetView>
  </sheetViews>
  <sheetFormatPr defaultRowHeight="12.75" customHeight="1" x14ac:dyDescent="0.2"/>
  <cols>
    <col min="1" max="1" width="9.140625" style="322"/>
    <col min="2" max="2" width="12.7109375" style="322" customWidth="1"/>
    <col min="3" max="3" width="41.7109375" style="322" customWidth="1"/>
    <col min="4" max="4" width="9.140625" style="322"/>
    <col min="5" max="5" width="25.28515625" style="322" customWidth="1"/>
    <col min="6" max="6" width="14.28515625" style="322" customWidth="1"/>
    <col min="7" max="7" width="10" style="322" customWidth="1"/>
    <col min="8" max="17" width="9.140625" style="322"/>
    <col min="18" max="18" width="48.140625" style="322" customWidth="1"/>
    <col min="19" max="16384" width="9.140625" style="322"/>
  </cols>
  <sheetData>
    <row r="1" spans="1:18" ht="12.75" customHeight="1" x14ac:dyDescent="0.2">
      <c r="B1" s="393"/>
      <c r="C1" s="393"/>
      <c r="D1" s="393"/>
    </row>
    <row r="2" spans="1:18" ht="12.75" customHeight="1" x14ac:dyDescent="0.2">
      <c r="A2" s="395" t="s">
        <v>582</v>
      </c>
      <c r="B2" s="395"/>
    </row>
    <row r="4" spans="1:18" ht="12.75" customHeight="1" x14ac:dyDescent="0.2">
      <c r="A4" s="394" t="s">
        <v>201</v>
      </c>
      <c r="B4" s="394"/>
      <c r="C4" s="323" t="s">
        <v>208</v>
      </c>
      <c r="E4" s="322" t="s">
        <v>209</v>
      </c>
      <c r="F4" s="392" t="s">
        <v>208</v>
      </c>
    </row>
    <row r="6" spans="1:18" ht="12.75" customHeight="1" x14ac:dyDescent="0.2">
      <c r="A6" s="319" t="s">
        <v>1</v>
      </c>
      <c r="B6" s="319" t="s">
        <v>172</v>
      </c>
      <c r="C6" s="319" t="s">
        <v>173</v>
      </c>
      <c r="D6" s="319" t="s">
        <v>2</v>
      </c>
      <c r="E6" s="319" t="s">
        <v>178</v>
      </c>
      <c r="F6" s="319" t="s">
        <v>174</v>
      </c>
      <c r="G6" s="319" t="s">
        <v>175</v>
      </c>
      <c r="H6" s="320" t="s">
        <v>177</v>
      </c>
      <c r="I6" s="320" t="s">
        <v>176</v>
      </c>
    </row>
    <row r="7" spans="1:18" ht="12.75" customHeight="1" x14ac:dyDescent="0.2">
      <c r="A7" s="324">
        <v>1</v>
      </c>
      <c r="B7" s="40" t="s">
        <v>202</v>
      </c>
      <c r="C7" s="325" t="s">
        <v>212</v>
      </c>
      <c r="D7" s="325" t="s">
        <v>211</v>
      </c>
      <c r="E7" s="326" t="s">
        <v>578</v>
      </c>
      <c r="F7" s="327">
        <v>45569</v>
      </c>
      <c r="G7" s="327">
        <v>46160</v>
      </c>
      <c r="P7" s="323" t="s">
        <v>202</v>
      </c>
      <c r="R7" s="321" t="s">
        <v>221</v>
      </c>
    </row>
    <row r="8" spans="1:18" ht="12.75" customHeight="1" x14ac:dyDescent="0.2">
      <c r="A8" s="11">
        <v>2</v>
      </c>
      <c r="B8" s="40"/>
      <c r="C8" s="328" t="s">
        <v>140</v>
      </c>
      <c r="D8" s="328" t="s">
        <v>132</v>
      </c>
      <c r="E8" s="328" t="s">
        <v>581</v>
      </c>
      <c r="F8" s="42">
        <v>45902</v>
      </c>
      <c r="G8" s="42">
        <v>46203</v>
      </c>
      <c r="P8" s="323" t="s">
        <v>203</v>
      </c>
      <c r="R8" s="323" t="s">
        <v>169</v>
      </c>
    </row>
    <row r="9" spans="1:18" ht="12.75" customHeight="1" x14ac:dyDescent="0.2">
      <c r="A9" s="11">
        <v>3</v>
      </c>
      <c r="B9" s="40"/>
      <c r="C9" s="328" t="s">
        <v>213</v>
      </c>
      <c r="D9" s="328" t="s">
        <v>132</v>
      </c>
      <c r="E9" s="328" t="s">
        <v>578</v>
      </c>
      <c r="F9" s="42">
        <v>45903</v>
      </c>
      <c r="G9" s="42">
        <v>46203</v>
      </c>
      <c r="P9" s="323" t="s">
        <v>204</v>
      </c>
      <c r="R9" s="328" t="s">
        <v>580</v>
      </c>
    </row>
    <row r="10" spans="1:18" ht="12.75" customHeight="1" x14ac:dyDescent="0.2">
      <c r="A10" s="11">
        <v>4</v>
      </c>
      <c r="B10" s="11"/>
      <c r="C10" s="328" t="s">
        <v>214</v>
      </c>
      <c r="D10" s="328" t="s">
        <v>139</v>
      </c>
      <c r="E10" s="328" t="s">
        <v>578</v>
      </c>
      <c r="F10" s="329">
        <v>45904</v>
      </c>
      <c r="G10" s="329">
        <v>46568</v>
      </c>
      <c r="P10" s="323" t="s">
        <v>205</v>
      </c>
      <c r="R10" s="323" t="s">
        <v>207</v>
      </c>
    </row>
    <row r="11" spans="1:18" ht="12.75" customHeight="1" x14ac:dyDescent="0.2">
      <c r="A11" s="11">
        <v>5</v>
      </c>
      <c r="B11" s="40" t="s">
        <v>202</v>
      </c>
      <c r="C11" s="328" t="s">
        <v>216</v>
      </c>
      <c r="D11" s="328" t="s">
        <v>215</v>
      </c>
      <c r="E11" s="328" t="s">
        <v>578</v>
      </c>
      <c r="F11" s="330">
        <v>45904</v>
      </c>
      <c r="G11" s="330">
        <v>46586</v>
      </c>
      <c r="P11" s="323" t="s">
        <v>206</v>
      </c>
      <c r="R11" s="326" t="s">
        <v>578</v>
      </c>
    </row>
    <row r="12" spans="1:18" ht="12.75" customHeight="1" x14ac:dyDescent="0.2">
      <c r="A12" s="11">
        <v>6</v>
      </c>
      <c r="B12" s="40" t="s">
        <v>202</v>
      </c>
      <c r="C12" s="328" t="s">
        <v>141</v>
      </c>
      <c r="D12" s="328" t="s">
        <v>142</v>
      </c>
      <c r="E12" s="328" t="s">
        <v>580</v>
      </c>
      <c r="F12" s="331">
        <v>45901</v>
      </c>
      <c r="G12" s="331">
        <v>46022</v>
      </c>
      <c r="J12" s="318"/>
      <c r="P12" s="323" t="s">
        <v>208</v>
      </c>
      <c r="R12" s="328" t="s">
        <v>581</v>
      </c>
    </row>
    <row r="13" spans="1:18" ht="12.75" customHeight="1" x14ac:dyDescent="0.2">
      <c r="A13" s="11">
        <v>7</v>
      </c>
      <c r="B13" s="40" t="s">
        <v>202</v>
      </c>
      <c r="C13" s="328" t="s">
        <v>150</v>
      </c>
      <c r="D13" s="328" t="s">
        <v>139</v>
      </c>
      <c r="E13" s="328" t="s">
        <v>580</v>
      </c>
      <c r="F13" s="331">
        <v>45937</v>
      </c>
      <c r="G13" s="331">
        <v>46022</v>
      </c>
      <c r="R13" s="321" t="s">
        <v>262</v>
      </c>
    </row>
    <row r="14" spans="1:18" ht="12.75" customHeight="1" x14ac:dyDescent="0.2">
      <c r="A14" s="11">
        <v>8</v>
      </c>
      <c r="B14" s="40" t="s">
        <v>202</v>
      </c>
      <c r="C14" s="35" t="s">
        <v>218</v>
      </c>
      <c r="D14" s="35" t="s">
        <v>217</v>
      </c>
      <c r="E14" s="328" t="s">
        <v>578</v>
      </c>
      <c r="F14" s="327">
        <v>45575</v>
      </c>
      <c r="G14" s="327">
        <v>46077</v>
      </c>
      <c r="R14" s="322" t="s">
        <v>305</v>
      </c>
    </row>
    <row r="15" spans="1:18" ht="12.75" customHeight="1" x14ac:dyDescent="0.2">
      <c r="A15" s="11">
        <v>9</v>
      </c>
      <c r="B15" s="40" t="s">
        <v>202</v>
      </c>
      <c r="C15" s="35" t="s">
        <v>220</v>
      </c>
      <c r="D15" s="35" t="s">
        <v>219</v>
      </c>
      <c r="E15" s="328" t="s">
        <v>578</v>
      </c>
      <c r="F15" s="327">
        <v>45596</v>
      </c>
      <c r="G15" s="327">
        <v>45913</v>
      </c>
      <c r="R15" s="328" t="s">
        <v>339</v>
      </c>
    </row>
    <row r="16" spans="1:18" ht="12.75" customHeight="1" x14ac:dyDescent="0.2">
      <c r="A16" s="11">
        <v>10</v>
      </c>
      <c r="B16" s="40" t="s">
        <v>204</v>
      </c>
      <c r="C16" s="332" t="s">
        <v>179</v>
      </c>
      <c r="D16" s="321" t="s">
        <v>180</v>
      </c>
      <c r="E16" s="321" t="s">
        <v>221</v>
      </c>
      <c r="F16" s="42">
        <v>45937</v>
      </c>
      <c r="G16" s="42">
        <v>46081</v>
      </c>
      <c r="R16" s="333" t="s">
        <v>388</v>
      </c>
    </row>
    <row r="17" spans="1:18" ht="12.75" customHeight="1" x14ac:dyDescent="0.2">
      <c r="A17" s="11">
        <v>11</v>
      </c>
      <c r="B17" s="40" t="s">
        <v>206</v>
      </c>
      <c r="C17" s="332" t="s">
        <v>223</v>
      </c>
      <c r="D17" s="321" t="s">
        <v>222</v>
      </c>
      <c r="E17" s="321" t="s">
        <v>221</v>
      </c>
      <c r="F17" s="42">
        <v>45930</v>
      </c>
      <c r="G17" s="42">
        <v>46081</v>
      </c>
      <c r="R17" s="333" t="s">
        <v>396</v>
      </c>
    </row>
    <row r="18" spans="1:18" ht="12.75" customHeight="1" x14ac:dyDescent="0.2">
      <c r="A18" s="11">
        <v>12</v>
      </c>
      <c r="B18" s="40" t="s">
        <v>204</v>
      </c>
      <c r="C18" s="332" t="s">
        <v>224</v>
      </c>
      <c r="D18" s="321" t="s">
        <v>189</v>
      </c>
      <c r="E18" s="321" t="s">
        <v>221</v>
      </c>
      <c r="F18" s="42">
        <v>45936</v>
      </c>
      <c r="G18" s="42">
        <v>46081</v>
      </c>
      <c r="K18" s="322" t="s">
        <v>210</v>
      </c>
      <c r="R18" s="333" t="s">
        <v>413</v>
      </c>
    </row>
    <row r="19" spans="1:18" ht="12.75" customHeight="1" x14ac:dyDescent="0.2">
      <c r="A19" s="324">
        <v>13</v>
      </c>
      <c r="B19" s="40" t="s">
        <v>206</v>
      </c>
      <c r="C19" s="332" t="s">
        <v>226</v>
      </c>
      <c r="D19" s="321" t="s">
        <v>225</v>
      </c>
      <c r="E19" s="321" t="s">
        <v>221</v>
      </c>
      <c r="F19" s="42">
        <v>45937</v>
      </c>
      <c r="G19" s="42">
        <v>46022</v>
      </c>
      <c r="R19" s="390" t="s">
        <v>208</v>
      </c>
    </row>
    <row r="20" spans="1:18" ht="12.75" customHeight="1" x14ac:dyDescent="0.2">
      <c r="A20" s="11">
        <v>14</v>
      </c>
      <c r="B20" s="40" t="s">
        <v>202</v>
      </c>
      <c r="C20" s="332" t="s">
        <v>127</v>
      </c>
      <c r="D20" s="321" t="s">
        <v>128</v>
      </c>
      <c r="E20" s="321" t="s">
        <v>221</v>
      </c>
      <c r="F20" s="42">
        <v>45925</v>
      </c>
      <c r="G20" s="42">
        <v>46081</v>
      </c>
    </row>
    <row r="21" spans="1:18" ht="12.75" customHeight="1" x14ac:dyDescent="0.2">
      <c r="A21" s="11">
        <v>15</v>
      </c>
      <c r="B21" s="40" t="s">
        <v>202</v>
      </c>
      <c r="C21" s="332" t="s">
        <v>228</v>
      </c>
      <c r="D21" s="334" t="s">
        <v>227</v>
      </c>
      <c r="E21" s="321" t="s">
        <v>221</v>
      </c>
      <c r="F21" s="42">
        <v>45925</v>
      </c>
      <c r="G21" s="42">
        <v>46022</v>
      </c>
    </row>
    <row r="22" spans="1:18" ht="12.75" customHeight="1" x14ac:dyDescent="0.2">
      <c r="A22" s="11">
        <v>16</v>
      </c>
      <c r="B22" s="40" t="s">
        <v>205</v>
      </c>
      <c r="C22" s="332" t="s">
        <v>230</v>
      </c>
      <c r="D22" s="321" t="s">
        <v>229</v>
      </c>
      <c r="E22" s="321" t="s">
        <v>221</v>
      </c>
      <c r="F22" s="42">
        <v>45838</v>
      </c>
      <c r="G22" s="42">
        <v>45991</v>
      </c>
    </row>
    <row r="23" spans="1:18" ht="12.75" customHeight="1" x14ac:dyDescent="0.2">
      <c r="A23" s="11">
        <v>17</v>
      </c>
      <c r="B23" s="40" t="s">
        <v>205</v>
      </c>
      <c r="C23" s="332" t="s">
        <v>232</v>
      </c>
      <c r="D23" s="321" t="s">
        <v>231</v>
      </c>
      <c r="E23" s="321" t="s">
        <v>221</v>
      </c>
      <c r="F23" s="42">
        <v>45924</v>
      </c>
      <c r="G23" s="42">
        <v>46081</v>
      </c>
    </row>
    <row r="24" spans="1:18" ht="12.75" customHeight="1" x14ac:dyDescent="0.2">
      <c r="A24" s="11">
        <v>18</v>
      </c>
      <c r="B24" s="40" t="s">
        <v>204</v>
      </c>
      <c r="C24" s="335" t="s">
        <v>233</v>
      </c>
      <c r="D24" s="321" t="s">
        <v>108</v>
      </c>
      <c r="E24" s="321" t="s">
        <v>221</v>
      </c>
      <c r="F24" s="42">
        <v>45938</v>
      </c>
      <c r="G24" s="42">
        <v>46112</v>
      </c>
    </row>
    <row r="25" spans="1:18" ht="12.75" customHeight="1" x14ac:dyDescent="0.2">
      <c r="A25" s="11">
        <v>19</v>
      </c>
      <c r="B25" s="40" t="s">
        <v>203</v>
      </c>
      <c r="C25" s="321" t="s">
        <v>235</v>
      </c>
      <c r="D25" s="321" t="s">
        <v>234</v>
      </c>
      <c r="E25" s="321" t="s">
        <v>221</v>
      </c>
      <c r="F25" s="42">
        <v>45904</v>
      </c>
      <c r="G25" s="42">
        <v>46022</v>
      </c>
    </row>
    <row r="26" spans="1:18" ht="12.75" customHeight="1" x14ac:dyDescent="0.2">
      <c r="A26" s="11">
        <v>20</v>
      </c>
      <c r="B26" s="40" t="s">
        <v>206</v>
      </c>
      <c r="C26" s="336" t="s">
        <v>237</v>
      </c>
      <c r="D26" s="321" t="s">
        <v>236</v>
      </c>
      <c r="E26" s="321" t="s">
        <v>221</v>
      </c>
      <c r="F26" s="42">
        <v>45909</v>
      </c>
      <c r="G26" s="42">
        <v>45991</v>
      </c>
    </row>
    <row r="27" spans="1:18" ht="12.75" customHeight="1" x14ac:dyDescent="0.2">
      <c r="A27" s="11">
        <v>21</v>
      </c>
      <c r="B27" s="40" t="s">
        <v>206</v>
      </c>
      <c r="C27" s="336" t="s">
        <v>238</v>
      </c>
      <c r="D27" s="321" t="s">
        <v>227</v>
      </c>
      <c r="E27" s="321" t="s">
        <v>221</v>
      </c>
      <c r="F27" s="42">
        <v>45904</v>
      </c>
      <c r="G27" s="42">
        <v>46053</v>
      </c>
    </row>
    <row r="28" spans="1:18" ht="12.75" customHeight="1" x14ac:dyDescent="0.2">
      <c r="A28" s="11">
        <v>22</v>
      </c>
      <c r="B28" s="40" t="s">
        <v>204</v>
      </c>
      <c r="C28" s="337" t="s">
        <v>184</v>
      </c>
      <c r="D28" s="321" t="s">
        <v>185</v>
      </c>
      <c r="E28" s="321" t="s">
        <v>221</v>
      </c>
      <c r="F28" s="42">
        <v>45924</v>
      </c>
      <c r="G28" s="42">
        <v>46081</v>
      </c>
    </row>
    <row r="29" spans="1:18" ht="12.75" customHeight="1" x14ac:dyDescent="0.2">
      <c r="A29" s="11">
        <v>23</v>
      </c>
      <c r="B29" s="40" t="s">
        <v>203</v>
      </c>
      <c r="C29" s="337" t="s">
        <v>240</v>
      </c>
      <c r="D29" s="321" t="s">
        <v>239</v>
      </c>
      <c r="E29" s="321" t="s">
        <v>221</v>
      </c>
      <c r="F29" s="42">
        <v>45938</v>
      </c>
      <c r="G29" s="42">
        <v>46081</v>
      </c>
    </row>
    <row r="30" spans="1:18" ht="12.75" customHeight="1" x14ac:dyDescent="0.2">
      <c r="A30" s="11">
        <v>24</v>
      </c>
      <c r="B30" s="40" t="s">
        <v>206</v>
      </c>
      <c r="C30" s="336" t="s">
        <v>242</v>
      </c>
      <c r="D30" s="321" t="s">
        <v>241</v>
      </c>
      <c r="E30" s="321" t="s">
        <v>221</v>
      </c>
      <c r="F30" s="42">
        <v>45909</v>
      </c>
      <c r="G30" s="42">
        <v>46053</v>
      </c>
    </row>
    <row r="31" spans="1:18" ht="12.75" customHeight="1" x14ac:dyDescent="0.2">
      <c r="A31" s="324">
        <v>25</v>
      </c>
      <c r="B31" s="40" t="s">
        <v>204</v>
      </c>
      <c r="C31" s="321" t="s">
        <v>187</v>
      </c>
      <c r="D31" s="321" t="s">
        <v>112</v>
      </c>
      <c r="E31" s="321" t="s">
        <v>221</v>
      </c>
      <c r="F31" s="329">
        <v>45799</v>
      </c>
      <c r="G31" s="329">
        <v>45961</v>
      </c>
    </row>
    <row r="32" spans="1:18" ht="12.75" customHeight="1" x14ac:dyDescent="0.2">
      <c r="A32" s="11">
        <v>26</v>
      </c>
      <c r="B32" s="40" t="s">
        <v>204</v>
      </c>
      <c r="C32" s="337" t="s">
        <v>188</v>
      </c>
      <c r="D32" s="321" t="s">
        <v>189</v>
      </c>
      <c r="E32" s="321" t="s">
        <v>221</v>
      </c>
      <c r="F32" s="42">
        <v>45924</v>
      </c>
      <c r="G32" s="42">
        <v>46081</v>
      </c>
    </row>
    <row r="33" spans="1:11" ht="12.75" customHeight="1" x14ac:dyDescent="0.2">
      <c r="A33" s="11">
        <v>27</v>
      </c>
      <c r="B33" s="40" t="s">
        <v>206</v>
      </c>
      <c r="C33" s="337" t="s">
        <v>244</v>
      </c>
      <c r="D33" s="321" t="s">
        <v>243</v>
      </c>
      <c r="E33" s="321" t="s">
        <v>221</v>
      </c>
      <c r="F33" s="42">
        <v>45943</v>
      </c>
      <c r="G33" s="42">
        <v>46081</v>
      </c>
    </row>
    <row r="34" spans="1:11" ht="12.75" customHeight="1" x14ac:dyDescent="0.2">
      <c r="A34" s="11">
        <v>28</v>
      </c>
      <c r="B34" s="40" t="s">
        <v>206</v>
      </c>
      <c r="C34" s="337" t="s">
        <v>246</v>
      </c>
      <c r="D34" s="321" t="s">
        <v>245</v>
      </c>
      <c r="E34" s="321" t="s">
        <v>221</v>
      </c>
      <c r="F34" s="42">
        <v>45932</v>
      </c>
      <c r="G34" s="42">
        <v>46081</v>
      </c>
    </row>
    <row r="35" spans="1:11" ht="12.75" customHeight="1" x14ac:dyDescent="0.2">
      <c r="A35" s="11">
        <v>29</v>
      </c>
      <c r="B35" s="40" t="s">
        <v>203</v>
      </c>
      <c r="C35" s="337" t="s">
        <v>247</v>
      </c>
      <c r="D35" s="321" t="s">
        <v>95</v>
      </c>
      <c r="E35" s="321" t="s">
        <v>221</v>
      </c>
      <c r="F35" s="42">
        <v>45931</v>
      </c>
      <c r="G35" s="42">
        <v>46081</v>
      </c>
    </row>
    <row r="36" spans="1:11" ht="12.75" customHeight="1" x14ac:dyDescent="0.2">
      <c r="A36" s="11">
        <v>30</v>
      </c>
      <c r="B36" s="40" t="s">
        <v>202</v>
      </c>
      <c r="C36" s="337" t="s">
        <v>144</v>
      </c>
      <c r="D36" s="321" t="s">
        <v>134</v>
      </c>
      <c r="E36" s="321" t="s">
        <v>221</v>
      </c>
      <c r="F36" s="42">
        <v>45926</v>
      </c>
      <c r="G36" s="42">
        <v>46081</v>
      </c>
    </row>
    <row r="37" spans="1:11" ht="12.75" customHeight="1" x14ac:dyDescent="0.2">
      <c r="A37" s="11">
        <v>31</v>
      </c>
      <c r="B37" s="40" t="s">
        <v>205</v>
      </c>
      <c r="C37" s="338" t="s">
        <v>197</v>
      </c>
      <c r="D37" s="321" t="s">
        <v>196</v>
      </c>
      <c r="E37" s="321" t="s">
        <v>221</v>
      </c>
      <c r="F37" s="42">
        <v>45926</v>
      </c>
      <c r="G37" s="42">
        <v>45961</v>
      </c>
    </row>
    <row r="38" spans="1:11" ht="12.75" customHeight="1" x14ac:dyDescent="0.2">
      <c r="A38" s="11">
        <v>32</v>
      </c>
      <c r="B38" s="40" t="s">
        <v>206</v>
      </c>
      <c r="C38" s="337" t="s">
        <v>151</v>
      </c>
      <c r="D38" s="321" t="s">
        <v>152</v>
      </c>
      <c r="E38" s="321" t="s">
        <v>221</v>
      </c>
      <c r="F38" s="42">
        <v>45926</v>
      </c>
      <c r="G38" s="42">
        <v>46081</v>
      </c>
    </row>
    <row r="39" spans="1:11" ht="12.75" customHeight="1" x14ac:dyDescent="0.2">
      <c r="A39" s="11">
        <v>33</v>
      </c>
      <c r="B39" s="40" t="s">
        <v>205</v>
      </c>
      <c r="C39" s="337" t="s">
        <v>248</v>
      </c>
      <c r="D39" s="321" t="s">
        <v>200</v>
      </c>
      <c r="E39" s="321" t="s">
        <v>221</v>
      </c>
      <c r="F39" s="42">
        <v>45936</v>
      </c>
      <c r="G39" s="42">
        <v>46112</v>
      </c>
    </row>
    <row r="40" spans="1:11" ht="12.75" customHeight="1" x14ac:dyDescent="0.2">
      <c r="A40" s="11">
        <v>34</v>
      </c>
      <c r="B40" s="40" t="s">
        <v>206</v>
      </c>
      <c r="C40" s="337" t="s">
        <v>250</v>
      </c>
      <c r="D40" s="321" t="s">
        <v>249</v>
      </c>
      <c r="E40" s="321" t="s">
        <v>221</v>
      </c>
      <c r="F40" s="42">
        <v>45925</v>
      </c>
      <c r="G40" s="42">
        <v>46022</v>
      </c>
    </row>
    <row r="41" spans="1:11" ht="12.75" customHeight="1" x14ac:dyDescent="0.2">
      <c r="A41" s="324">
        <v>35</v>
      </c>
      <c r="B41" s="40" t="s">
        <v>202</v>
      </c>
      <c r="C41" s="337" t="s">
        <v>252</v>
      </c>
      <c r="D41" s="321" t="s">
        <v>251</v>
      </c>
      <c r="E41" s="321" t="s">
        <v>221</v>
      </c>
      <c r="F41" s="42">
        <v>45932</v>
      </c>
      <c r="G41" s="42">
        <v>46081</v>
      </c>
      <c r="K41" s="391"/>
    </row>
    <row r="42" spans="1:11" ht="12.75" customHeight="1" x14ac:dyDescent="0.2">
      <c r="A42" s="11">
        <v>36</v>
      </c>
      <c r="B42" s="40" t="s">
        <v>202</v>
      </c>
      <c r="C42" s="337" t="s">
        <v>254</v>
      </c>
      <c r="D42" s="334" t="s">
        <v>253</v>
      </c>
      <c r="E42" s="321" t="s">
        <v>221</v>
      </c>
      <c r="F42" s="42">
        <v>45916</v>
      </c>
      <c r="G42" s="42">
        <v>46081</v>
      </c>
    </row>
    <row r="43" spans="1:11" ht="12.75" customHeight="1" x14ac:dyDescent="0.2">
      <c r="A43" s="11">
        <v>37</v>
      </c>
      <c r="B43" s="40" t="s">
        <v>203</v>
      </c>
      <c r="C43" s="321" t="s">
        <v>256</v>
      </c>
      <c r="D43" s="321" t="s">
        <v>255</v>
      </c>
      <c r="E43" s="248" t="s">
        <v>221</v>
      </c>
      <c r="F43" s="42">
        <v>45910</v>
      </c>
      <c r="G43" s="42">
        <v>46053</v>
      </c>
    </row>
    <row r="44" spans="1:11" ht="12.75" customHeight="1" x14ac:dyDescent="0.2">
      <c r="A44" s="11">
        <v>38</v>
      </c>
      <c r="B44" s="40" t="s">
        <v>206</v>
      </c>
      <c r="C44" s="339" t="s">
        <v>190</v>
      </c>
      <c r="D44" s="321" t="s">
        <v>189</v>
      </c>
      <c r="E44" s="321" t="s">
        <v>221</v>
      </c>
      <c r="F44" s="42">
        <v>45916</v>
      </c>
      <c r="G44" s="42">
        <v>45961</v>
      </c>
    </row>
    <row r="45" spans="1:11" ht="12.75" customHeight="1" x14ac:dyDescent="0.2">
      <c r="A45" s="11">
        <v>39</v>
      </c>
      <c r="B45" s="40" t="s">
        <v>205</v>
      </c>
      <c r="C45" s="337" t="s">
        <v>198</v>
      </c>
      <c r="D45" s="321" t="s">
        <v>194</v>
      </c>
      <c r="E45" s="321" t="s">
        <v>221</v>
      </c>
      <c r="F45" s="42">
        <v>45933</v>
      </c>
      <c r="G45" s="42">
        <v>46053</v>
      </c>
    </row>
    <row r="46" spans="1:11" ht="12.75" customHeight="1" x14ac:dyDescent="0.2">
      <c r="A46" s="11">
        <v>40</v>
      </c>
      <c r="B46" s="40" t="s">
        <v>204</v>
      </c>
      <c r="C46" s="341" t="s">
        <v>191</v>
      </c>
      <c r="D46" s="342" t="s">
        <v>192</v>
      </c>
      <c r="E46" s="342" t="s">
        <v>221</v>
      </c>
      <c r="F46" s="343">
        <v>45931</v>
      </c>
      <c r="G46" s="343">
        <v>46081</v>
      </c>
    </row>
    <row r="47" spans="1:11" ht="12.75" customHeight="1" x14ac:dyDescent="0.2">
      <c r="A47" s="11">
        <v>41</v>
      </c>
      <c r="B47" s="40" t="s">
        <v>205</v>
      </c>
      <c r="C47" s="35" t="s">
        <v>193</v>
      </c>
      <c r="D47" s="35" t="s">
        <v>194</v>
      </c>
      <c r="E47" s="35" t="s">
        <v>221</v>
      </c>
      <c r="F47" s="329">
        <v>45904</v>
      </c>
      <c r="G47" s="329">
        <v>46053</v>
      </c>
    </row>
    <row r="48" spans="1:11" ht="12.75" customHeight="1" x14ac:dyDescent="0.2">
      <c r="A48" s="11">
        <v>42</v>
      </c>
      <c r="B48" s="40" t="s">
        <v>206</v>
      </c>
      <c r="C48" s="344" t="s">
        <v>257</v>
      </c>
      <c r="D48" s="344" t="s">
        <v>253</v>
      </c>
      <c r="E48" s="345" t="s">
        <v>221</v>
      </c>
      <c r="F48" s="346">
        <v>45909</v>
      </c>
      <c r="G48" s="346">
        <v>45991</v>
      </c>
    </row>
    <row r="49" spans="1:7" ht="12.75" customHeight="1" x14ac:dyDescent="0.2">
      <c r="A49" s="11">
        <v>43</v>
      </c>
      <c r="B49" s="40" t="s">
        <v>204</v>
      </c>
      <c r="C49" s="344" t="s">
        <v>258</v>
      </c>
      <c r="D49" s="321" t="s">
        <v>110</v>
      </c>
      <c r="E49" s="328" t="s">
        <v>581</v>
      </c>
      <c r="F49" s="330">
        <v>45902</v>
      </c>
      <c r="G49" s="330">
        <v>46203</v>
      </c>
    </row>
    <row r="50" spans="1:7" ht="12.75" customHeight="1" x14ac:dyDescent="0.2">
      <c r="A50" s="11">
        <v>44</v>
      </c>
      <c r="B50" s="40" t="s">
        <v>206</v>
      </c>
      <c r="C50" s="321" t="s">
        <v>113</v>
      </c>
      <c r="D50" s="321" t="s">
        <v>259</v>
      </c>
      <c r="E50" s="321" t="s">
        <v>221</v>
      </c>
      <c r="F50" s="330">
        <v>45902</v>
      </c>
      <c r="G50" s="330">
        <v>45930</v>
      </c>
    </row>
    <row r="51" spans="1:7" ht="12.75" customHeight="1" x14ac:dyDescent="0.2">
      <c r="A51" s="11">
        <v>45</v>
      </c>
      <c r="B51" s="40" t="s">
        <v>204</v>
      </c>
      <c r="C51" s="321" t="s">
        <v>190</v>
      </c>
      <c r="D51" s="321" t="s">
        <v>189</v>
      </c>
      <c r="E51" s="321" t="s">
        <v>221</v>
      </c>
      <c r="F51" s="330">
        <v>45903</v>
      </c>
      <c r="G51" s="330">
        <v>45961</v>
      </c>
    </row>
    <row r="52" spans="1:7" ht="12.75" customHeight="1" x14ac:dyDescent="0.2">
      <c r="A52" s="11">
        <v>46</v>
      </c>
      <c r="B52" s="40" t="s">
        <v>206</v>
      </c>
      <c r="C52" s="321" t="s">
        <v>261</v>
      </c>
      <c r="D52" s="321" t="s">
        <v>260</v>
      </c>
      <c r="E52" s="321" t="s">
        <v>262</v>
      </c>
      <c r="F52" s="42">
        <v>45905</v>
      </c>
      <c r="G52" s="42">
        <v>45995</v>
      </c>
    </row>
    <row r="53" spans="1:7" ht="12.75" customHeight="1" x14ac:dyDescent="0.2">
      <c r="A53" s="324">
        <v>47</v>
      </c>
      <c r="B53" s="40" t="s">
        <v>206</v>
      </c>
      <c r="C53" s="321" t="s">
        <v>264</v>
      </c>
      <c r="D53" s="321" t="s">
        <v>263</v>
      </c>
      <c r="E53" s="321" t="s">
        <v>262</v>
      </c>
      <c r="F53" s="42">
        <v>45905</v>
      </c>
      <c r="G53" s="42">
        <v>45995</v>
      </c>
    </row>
    <row r="54" spans="1:7" ht="12.75" customHeight="1" x14ac:dyDescent="0.2">
      <c r="A54" s="11">
        <v>48</v>
      </c>
      <c r="B54" s="40" t="s">
        <v>204</v>
      </c>
      <c r="C54" s="342" t="s">
        <v>266</v>
      </c>
      <c r="D54" s="342" t="s">
        <v>265</v>
      </c>
      <c r="E54" s="342" t="s">
        <v>262</v>
      </c>
      <c r="F54" s="343">
        <v>45905</v>
      </c>
      <c r="G54" s="343">
        <v>45991</v>
      </c>
    </row>
    <row r="55" spans="1:7" ht="12.75" customHeight="1" x14ac:dyDescent="0.2">
      <c r="A55" s="11">
        <v>49</v>
      </c>
      <c r="B55" s="40" t="s">
        <v>203</v>
      </c>
      <c r="C55" s="347" t="s">
        <v>268</v>
      </c>
      <c r="D55" s="348" t="s">
        <v>267</v>
      </c>
      <c r="E55" s="328" t="s">
        <v>581</v>
      </c>
      <c r="F55" s="349">
        <v>45905</v>
      </c>
      <c r="G55" s="349">
        <v>46203</v>
      </c>
    </row>
    <row r="56" spans="1:7" ht="12.75" customHeight="1" x14ac:dyDescent="0.2">
      <c r="A56" s="11">
        <v>50</v>
      </c>
      <c r="B56" s="40" t="s">
        <v>204</v>
      </c>
      <c r="C56" s="344" t="s">
        <v>129</v>
      </c>
      <c r="D56" s="344" t="s">
        <v>130</v>
      </c>
      <c r="E56" s="344" t="s">
        <v>262</v>
      </c>
      <c r="F56" s="346">
        <v>45906</v>
      </c>
      <c r="G56" s="346">
        <v>45996</v>
      </c>
    </row>
    <row r="57" spans="1:7" ht="12.75" customHeight="1" x14ac:dyDescent="0.2">
      <c r="A57" s="11">
        <v>51</v>
      </c>
      <c r="B57" s="40" t="s">
        <v>202</v>
      </c>
      <c r="C57" s="321" t="s">
        <v>135</v>
      </c>
      <c r="D57" s="321" t="s">
        <v>132</v>
      </c>
      <c r="E57" s="321" t="s">
        <v>262</v>
      </c>
      <c r="F57" s="42">
        <v>45906</v>
      </c>
      <c r="G57" s="42">
        <v>45996</v>
      </c>
    </row>
    <row r="58" spans="1:7" ht="12.75" customHeight="1" x14ac:dyDescent="0.2">
      <c r="A58" s="11">
        <v>52</v>
      </c>
      <c r="B58" s="40" t="s">
        <v>205</v>
      </c>
      <c r="C58" s="35" t="s">
        <v>193</v>
      </c>
      <c r="D58" s="35" t="s">
        <v>194</v>
      </c>
      <c r="E58" s="35" t="s">
        <v>262</v>
      </c>
      <c r="F58" s="329">
        <v>45908</v>
      </c>
      <c r="G58" s="329">
        <v>45998</v>
      </c>
    </row>
    <row r="59" spans="1:7" ht="12.75" customHeight="1" x14ac:dyDescent="0.2">
      <c r="A59" s="11">
        <v>53</v>
      </c>
      <c r="B59" s="40" t="s">
        <v>204</v>
      </c>
      <c r="C59" s="321" t="s">
        <v>102</v>
      </c>
      <c r="D59" s="321" t="s">
        <v>103</v>
      </c>
      <c r="E59" s="328" t="s">
        <v>581</v>
      </c>
      <c r="F59" s="42">
        <v>45905</v>
      </c>
      <c r="G59" s="42">
        <v>46203</v>
      </c>
    </row>
    <row r="60" spans="1:7" ht="12.75" customHeight="1" x14ac:dyDescent="0.2">
      <c r="A60" s="11">
        <v>54</v>
      </c>
      <c r="B60" s="40" t="s">
        <v>203</v>
      </c>
      <c r="C60" s="35" t="s">
        <v>269</v>
      </c>
      <c r="D60" s="321" t="s">
        <v>100</v>
      </c>
      <c r="E60" s="328" t="s">
        <v>581</v>
      </c>
      <c r="F60" s="42">
        <v>45908</v>
      </c>
      <c r="G60" s="42">
        <v>46203</v>
      </c>
    </row>
    <row r="61" spans="1:7" ht="12.75" customHeight="1" x14ac:dyDescent="0.2">
      <c r="A61" s="11">
        <v>55</v>
      </c>
      <c r="B61" s="40" t="s">
        <v>204</v>
      </c>
      <c r="C61" s="321" t="s">
        <v>271</v>
      </c>
      <c r="D61" s="321" t="s">
        <v>270</v>
      </c>
      <c r="E61" s="321" t="s">
        <v>262</v>
      </c>
      <c r="F61" s="42">
        <v>45909</v>
      </c>
      <c r="G61" s="42">
        <v>45930</v>
      </c>
    </row>
    <row r="62" spans="1:7" ht="12.75" customHeight="1" x14ac:dyDescent="0.2">
      <c r="A62" s="11">
        <v>56</v>
      </c>
      <c r="B62" s="40"/>
      <c r="C62" s="321" t="s">
        <v>133</v>
      </c>
      <c r="D62" s="321" t="s">
        <v>134</v>
      </c>
      <c r="E62" s="321" t="s">
        <v>262</v>
      </c>
      <c r="F62" s="42">
        <v>45911</v>
      </c>
      <c r="G62" s="42">
        <v>46001</v>
      </c>
    </row>
    <row r="63" spans="1:7" ht="12.75" customHeight="1" x14ac:dyDescent="0.2">
      <c r="A63" s="11">
        <v>57</v>
      </c>
      <c r="B63" s="40" t="s">
        <v>202</v>
      </c>
      <c r="C63" s="321" t="s">
        <v>272</v>
      </c>
      <c r="D63" s="321" t="s">
        <v>131</v>
      </c>
      <c r="E63" s="321" t="s">
        <v>262</v>
      </c>
      <c r="F63" s="42">
        <v>45910</v>
      </c>
      <c r="G63" s="42">
        <v>46001</v>
      </c>
    </row>
    <row r="64" spans="1:7" ht="12.75" customHeight="1" x14ac:dyDescent="0.2">
      <c r="A64" s="11">
        <v>58</v>
      </c>
      <c r="B64" s="40" t="s">
        <v>206</v>
      </c>
      <c r="C64" s="321" t="s">
        <v>273</v>
      </c>
      <c r="D64" s="321" t="s">
        <v>243</v>
      </c>
      <c r="E64" s="321" t="s">
        <v>262</v>
      </c>
      <c r="F64" s="42">
        <v>45911</v>
      </c>
      <c r="G64" s="42">
        <v>45930</v>
      </c>
    </row>
    <row r="65" spans="1:7" ht="12.75" customHeight="1" x14ac:dyDescent="0.2">
      <c r="A65" s="324">
        <v>59</v>
      </c>
      <c r="B65" s="40" t="s">
        <v>206</v>
      </c>
      <c r="C65" s="321" t="s">
        <v>155</v>
      </c>
      <c r="D65" s="321" t="s">
        <v>116</v>
      </c>
      <c r="E65" s="321" t="s">
        <v>262</v>
      </c>
      <c r="F65" s="42">
        <v>45911</v>
      </c>
      <c r="G65" s="42">
        <v>46001</v>
      </c>
    </row>
    <row r="66" spans="1:7" ht="12.75" customHeight="1" x14ac:dyDescent="0.2">
      <c r="A66" s="11">
        <v>60</v>
      </c>
      <c r="B66" s="40" t="s">
        <v>206</v>
      </c>
      <c r="C66" s="321" t="s">
        <v>250</v>
      </c>
      <c r="D66" s="321" t="s">
        <v>243</v>
      </c>
      <c r="E66" s="321" t="s">
        <v>262</v>
      </c>
      <c r="F66" s="42">
        <v>45911</v>
      </c>
      <c r="G66" s="42">
        <v>46001</v>
      </c>
    </row>
    <row r="67" spans="1:7" ht="12.75" customHeight="1" x14ac:dyDescent="0.2">
      <c r="A67" s="11">
        <v>61</v>
      </c>
      <c r="B67" s="40" t="s">
        <v>204</v>
      </c>
      <c r="C67" s="321" t="s">
        <v>274</v>
      </c>
      <c r="D67" s="321" t="s">
        <v>185</v>
      </c>
      <c r="E67" s="321" t="s">
        <v>262</v>
      </c>
      <c r="F67" s="42">
        <v>45912</v>
      </c>
      <c r="G67" s="42">
        <v>46002</v>
      </c>
    </row>
    <row r="68" spans="1:7" ht="12.75" customHeight="1" x14ac:dyDescent="0.2">
      <c r="A68" s="11">
        <v>62</v>
      </c>
      <c r="B68" s="40" t="s">
        <v>206</v>
      </c>
      <c r="C68" s="321" t="s">
        <v>275</v>
      </c>
      <c r="D68" s="321" t="s">
        <v>241</v>
      </c>
      <c r="E68" s="321" t="s">
        <v>262</v>
      </c>
      <c r="F68" s="42">
        <v>45917</v>
      </c>
      <c r="G68" s="42">
        <v>46007</v>
      </c>
    </row>
    <row r="69" spans="1:7" ht="12.75" customHeight="1" x14ac:dyDescent="0.2">
      <c r="A69" s="11">
        <v>63</v>
      </c>
      <c r="B69" s="40" t="s">
        <v>205</v>
      </c>
      <c r="C69" s="321" t="s">
        <v>195</v>
      </c>
      <c r="D69" s="321" t="s">
        <v>196</v>
      </c>
      <c r="E69" s="321" t="s">
        <v>262</v>
      </c>
      <c r="F69" s="42">
        <v>45918</v>
      </c>
      <c r="G69" s="42">
        <v>46008</v>
      </c>
    </row>
    <row r="70" spans="1:7" ht="12.75" customHeight="1" x14ac:dyDescent="0.2">
      <c r="A70" s="11">
        <v>64</v>
      </c>
      <c r="B70" s="40" t="s">
        <v>204</v>
      </c>
      <c r="C70" s="321" t="s">
        <v>184</v>
      </c>
      <c r="D70" s="321" t="s">
        <v>276</v>
      </c>
      <c r="E70" s="321" t="s">
        <v>221</v>
      </c>
      <c r="F70" s="42">
        <v>45924</v>
      </c>
      <c r="G70" s="42">
        <v>46081</v>
      </c>
    </row>
    <row r="71" spans="1:7" ht="12.75" customHeight="1" x14ac:dyDescent="0.2">
      <c r="A71" s="11">
        <v>65</v>
      </c>
      <c r="B71" s="40" t="s">
        <v>204</v>
      </c>
      <c r="C71" s="321" t="s">
        <v>188</v>
      </c>
      <c r="D71" s="321" t="s">
        <v>277</v>
      </c>
      <c r="E71" s="321" t="s">
        <v>221</v>
      </c>
      <c r="F71" s="42">
        <v>45924</v>
      </c>
      <c r="G71" s="42">
        <v>46081</v>
      </c>
    </row>
    <row r="72" spans="1:7" ht="12.75" customHeight="1" x14ac:dyDescent="0.2">
      <c r="A72" s="11">
        <v>66</v>
      </c>
      <c r="B72" s="40"/>
      <c r="C72" s="321" t="s">
        <v>248</v>
      </c>
      <c r="D72" s="321" t="s">
        <v>200</v>
      </c>
      <c r="E72" s="321" t="s">
        <v>262</v>
      </c>
      <c r="F72" s="42">
        <v>45924</v>
      </c>
      <c r="G72" s="42">
        <v>45930</v>
      </c>
    </row>
    <row r="73" spans="1:7" ht="12.75" customHeight="1" x14ac:dyDescent="0.2">
      <c r="A73" s="11">
        <v>67</v>
      </c>
      <c r="B73" s="40" t="s">
        <v>206</v>
      </c>
      <c r="C73" s="321" t="s">
        <v>279</v>
      </c>
      <c r="D73" s="321" t="s">
        <v>278</v>
      </c>
      <c r="E73" s="321" t="s">
        <v>262</v>
      </c>
      <c r="F73" s="42">
        <v>45924</v>
      </c>
      <c r="G73" s="42">
        <v>46014</v>
      </c>
    </row>
    <row r="74" spans="1:7" ht="12.75" customHeight="1" x14ac:dyDescent="0.2">
      <c r="A74" s="11">
        <v>68</v>
      </c>
      <c r="B74" s="40" t="s">
        <v>204</v>
      </c>
      <c r="C74" s="321" t="s">
        <v>181</v>
      </c>
      <c r="D74" s="321" t="s">
        <v>182</v>
      </c>
      <c r="E74" s="321" t="s">
        <v>221</v>
      </c>
      <c r="F74" s="42">
        <v>45924</v>
      </c>
      <c r="G74" s="42">
        <v>46387</v>
      </c>
    </row>
    <row r="75" spans="1:7" ht="12.75" customHeight="1" x14ac:dyDescent="0.2">
      <c r="A75" s="324">
        <v>69</v>
      </c>
      <c r="B75" s="40" t="s">
        <v>206</v>
      </c>
      <c r="C75" s="321" t="s">
        <v>120</v>
      </c>
      <c r="D75" s="321" t="s">
        <v>109</v>
      </c>
      <c r="E75" s="321" t="s">
        <v>221</v>
      </c>
      <c r="F75" s="42">
        <v>45925</v>
      </c>
      <c r="G75" s="42">
        <v>46081</v>
      </c>
    </row>
    <row r="76" spans="1:7" ht="12.75" customHeight="1" x14ac:dyDescent="0.2">
      <c r="A76" s="11">
        <v>70</v>
      </c>
      <c r="B76" s="40" t="s">
        <v>204</v>
      </c>
      <c r="C76" s="321" t="s">
        <v>280</v>
      </c>
      <c r="D76" s="321" t="s">
        <v>182</v>
      </c>
      <c r="E76" s="321" t="s">
        <v>262</v>
      </c>
      <c r="F76" s="42">
        <v>45925</v>
      </c>
      <c r="G76" s="42">
        <v>46015</v>
      </c>
    </row>
    <row r="77" spans="1:7" ht="12.75" customHeight="1" x14ac:dyDescent="0.2">
      <c r="A77" s="11">
        <v>71</v>
      </c>
      <c r="B77" s="40" t="s">
        <v>202</v>
      </c>
      <c r="C77" s="333" t="s">
        <v>144</v>
      </c>
      <c r="D77" s="333" t="s">
        <v>134</v>
      </c>
      <c r="E77" s="333" t="s">
        <v>262</v>
      </c>
      <c r="F77" s="42">
        <v>45926</v>
      </c>
      <c r="G77" s="42">
        <v>46016</v>
      </c>
    </row>
    <row r="78" spans="1:7" ht="12.75" customHeight="1" x14ac:dyDescent="0.2">
      <c r="A78" s="11">
        <v>72</v>
      </c>
      <c r="B78" s="40" t="s">
        <v>205</v>
      </c>
      <c r="C78" s="321" t="s">
        <v>197</v>
      </c>
      <c r="D78" s="321" t="s">
        <v>281</v>
      </c>
      <c r="E78" s="321" t="s">
        <v>262</v>
      </c>
      <c r="F78" s="42">
        <v>45929</v>
      </c>
      <c r="G78" s="42">
        <v>45961</v>
      </c>
    </row>
    <row r="79" spans="1:7" ht="12.75" customHeight="1" x14ac:dyDescent="0.2">
      <c r="A79" s="11">
        <v>73</v>
      </c>
      <c r="B79" s="40" t="s">
        <v>203</v>
      </c>
      <c r="C79" s="35" t="s">
        <v>256</v>
      </c>
      <c r="D79" s="321" t="s">
        <v>255</v>
      </c>
      <c r="E79" s="321" t="s">
        <v>262</v>
      </c>
      <c r="F79" s="42">
        <v>45929</v>
      </c>
      <c r="G79" s="42">
        <v>46020</v>
      </c>
    </row>
    <row r="80" spans="1:7" ht="12.75" customHeight="1" x14ac:dyDescent="0.2">
      <c r="A80" s="11">
        <v>74</v>
      </c>
      <c r="B80" s="40" t="s">
        <v>206</v>
      </c>
      <c r="C80" s="321" t="s">
        <v>151</v>
      </c>
      <c r="D80" s="321" t="s">
        <v>152</v>
      </c>
      <c r="E80" s="321" t="s">
        <v>262</v>
      </c>
      <c r="F80" s="42">
        <v>45929</v>
      </c>
      <c r="G80" s="42">
        <v>46020</v>
      </c>
    </row>
    <row r="81" spans="1:7" ht="12.75" customHeight="1" x14ac:dyDescent="0.2">
      <c r="A81" s="11">
        <v>75</v>
      </c>
      <c r="B81" s="40" t="s">
        <v>203</v>
      </c>
      <c r="C81" s="35" t="s">
        <v>282</v>
      </c>
      <c r="D81" s="321" t="s">
        <v>239</v>
      </c>
      <c r="E81" s="321" t="s">
        <v>262</v>
      </c>
      <c r="F81" s="42">
        <v>45930</v>
      </c>
      <c r="G81" s="42">
        <v>45961</v>
      </c>
    </row>
    <row r="82" spans="1:7" ht="12.75" customHeight="1" x14ac:dyDescent="0.2">
      <c r="A82" s="11">
        <v>76</v>
      </c>
      <c r="B82" s="40" t="s">
        <v>206</v>
      </c>
      <c r="C82" s="321" t="s">
        <v>143</v>
      </c>
      <c r="D82" s="321" t="s">
        <v>142</v>
      </c>
      <c r="E82" s="321" t="s">
        <v>262</v>
      </c>
      <c r="F82" s="42">
        <v>45931</v>
      </c>
      <c r="G82" s="42">
        <v>46022</v>
      </c>
    </row>
    <row r="83" spans="1:7" ht="12.75" customHeight="1" x14ac:dyDescent="0.2">
      <c r="A83" s="11">
        <v>77</v>
      </c>
      <c r="B83" s="40" t="s">
        <v>206</v>
      </c>
      <c r="C83" s="321" t="s">
        <v>283</v>
      </c>
      <c r="D83" s="321" t="s">
        <v>107</v>
      </c>
      <c r="E83" s="321" t="s">
        <v>262</v>
      </c>
      <c r="F83" s="42">
        <v>45931</v>
      </c>
      <c r="G83" s="42">
        <v>46022</v>
      </c>
    </row>
    <row r="84" spans="1:7" ht="12.75" customHeight="1" x14ac:dyDescent="0.2">
      <c r="A84" s="11">
        <v>78</v>
      </c>
      <c r="B84" s="40" t="s">
        <v>204</v>
      </c>
      <c r="C84" s="321" t="s">
        <v>191</v>
      </c>
      <c r="D84" s="321" t="s">
        <v>192</v>
      </c>
      <c r="E84" s="321" t="s">
        <v>221</v>
      </c>
      <c r="F84" s="42">
        <v>45931</v>
      </c>
      <c r="G84" s="42">
        <v>46022</v>
      </c>
    </row>
    <row r="85" spans="1:7" ht="12.75" customHeight="1" x14ac:dyDescent="0.2">
      <c r="A85" s="11">
        <v>79</v>
      </c>
      <c r="B85" s="40" t="s">
        <v>204</v>
      </c>
      <c r="C85" s="321" t="s">
        <v>284</v>
      </c>
      <c r="D85" s="321" t="s">
        <v>110</v>
      </c>
      <c r="E85" s="321" t="s">
        <v>221</v>
      </c>
      <c r="F85" s="42">
        <v>45932</v>
      </c>
      <c r="G85" s="42">
        <v>46022</v>
      </c>
    </row>
    <row r="86" spans="1:7" ht="12.75" customHeight="1" x14ac:dyDescent="0.2">
      <c r="A86" s="11">
        <v>80</v>
      </c>
      <c r="B86" s="40" t="s">
        <v>204</v>
      </c>
      <c r="C86" s="321" t="s">
        <v>183</v>
      </c>
      <c r="D86" s="321" t="s">
        <v>110</v>
      </c>
      <c r="E86" s="321" t="s">
        <v>221</v>
      </c>
      <c r="F86" s="42">
        <v>45932</v>
      </c>
      <c r="G86" s="42">
        <v>46022</v>
      </c>
    </row>
    <row r="87" spans="1:7" ht="12.75" customHeight="1" x14ac:dyDescent="0.2">
      <c r="A87" s="324">
        <v>81</v>
      </c>
      <c r="B87" s="40" t="s">
        <v>204</v>
      </c>
      <c r="C87" s="321" t="s">
        <v>179</v>
      </c>
      <c r="D87" s="321" t="s">
        <v>180</v>
      </c>
      <c r="E87" s="321" t="s">
        <v>221</v>
      </c>
      <c r="F87" s="42">
        <v>45933</v>
      </c>
      <c r="G87" s="42">
        <v>46022</v>
      </c>
    </row>
    <row r="88" spans="1:7" ht="12.75" customHeight="1" x14ac:dyDescent="0.2">
      <c r="A88" s="11">
        <v>82</v>
      </c>
      <c r="B88" s="40" t="s">
        <v>206</v>
      </c>
      <c r="C88" s="321" t="s">
        <v>286</v>
      </c>
      <c r="D88" s="321" t="s">
        <v>285</v>
      </c>
      <c r="E88" s="321" t="s">
        <v>262</v>
      </c>
      <c r="F88" s="42">
        <v>45937</v>
      </c>
      <c r="G88" s="42">
        <v>46028</v>
      </c>
    </row>
    <row r="89" spans="1:7" ht="12.75" customHeight="1" x14ac:dyDescent="0.2">
      <c r="A89" s="11">
        <v>83</v>
      </c>
      <c r="B89" s="40" t="s">
        <v>204</v>
      </c>
      <c r="C89" s="321" t="s">
        <v>190</v>
      </c>
      <c r="D89" s="321" t="s">
        <v>189</v>
      </c>
      <c r="E89" s="321" t="s">
        <v>262</v>
      </c>
      <c r="F89" s="42">
        <v>45936</v>
      </c>
      <c r="G89" s="42">
        <v>45961</v>
      </c>
    </row>
    <row r="90" spans="1:7" ht="12.75" customHeight="1" x14ac:dyDescent="0.2">
      <c r="A90" s="11">
        <v>84</v>
      </c>
      <c r="B90" s="40" t="s">
        <v>205</v>
      </c>
      <c r="C90" s="321" t="s">
        <v>198</v>
      </c>
      <c r="D90" s="321" t="s">
        <v>194</v>
      </c>
      <c r="E90" s="321" t="s">
        <v>262</v>
      </c>
      <c r="F90" s="42">
        <v>45936</v>
      </c>
      <c r="G90" s="42">
        <v>46027</v>
      </c>
    </row>
    <row r="91" spans="1:7" ht="12.75" customHeight="1" x14ac:dyDescent="0.2">
      <c r="A91" s="11">
        <v>85</v>
      </c>
      <c r="B91" s="40" t="s">
        <v>204</v>
      </c>
      <c r="C91" s="321" t="s">
        <v>187</v>
      </c>
      <c r="D91" s="321" t="s">
        <v>112</v>
      </c>
      <c r="E91" s="321" t="s">
        <v>221</v>
      </c>
      <c r="F91" s="42">
        <v>45931</v>
      </c>
      <c r="G91" s="42">
        <v>45961</v>
      </c>
    </row>
    <row r="92" spans="1:7" ht="12.75" customHeight="1" x14ac:dyDescent="0.2">
      <c r="A92" s="11">
        <v>86</v>
      </c>
      <c r="B92" s="40" t="s">
        <v>205</v>
      </c>
      <c r="C92" s="321" t="s">
        <v>287</v>
      </c>
      <c r="D92" s="321" t="s">
        <v>199</v>
      </c>
      <c r="E92" s="321" t="s">
        <v>262</v>
      </c>
      <c r="F92" s="42">
        <v>45937</v>
      </c>
      <c r="G92" s="42">
        <v>45961</v>
      </c>
    </row>
    <row r="93" spans="1:7" ht="12.75" customHeight="1" x14ac:dyDescent="0.2">
      <c r="A93" s="11">
        <v>87</v>
      </c>
      <c r="B93" s="40" t="s">
        <v>205</v>
      </c>
      <c r="C93" s="321" t="s">
        <v>248</v>
      </c>
      <c r="D93" s="321" t="s">
        <v>288</v>
      </c>
      <c r="E93" s="321" t="s">
        <v>262</v>
      </c>
      <c r="F93" s="42">
        <v>45937</v>
      </c>
      <c r="G93" s="42">
        <v>46028</v>
      </c>
    </row>
    <row r="94" spans="1:7" ht="12.75" customHeight="1" x14ac:dyDescent="0.2">
      <c r="A94" s="11">
        <v>88</v>
      </c>
      <c r="B94" s="40" t="s">
        <v>204</v>
      </c>
      <c r="C94" s="321" t="s">
        <v>289</v>
      </c>
      <c r="D94" s="321" t="s">
        <v>189</v>
      </c>
      <c r="E94" s="321" t="s">
        <v>221</v>
      </c>
      <c r="F94" s="42">
        <v>45937</v>
      </c>
      <c r="G94" s="42">
        <v>46028</v>
      </c>
    </row>
    <row r="95" spans="1:7" ht="12.75" customHeight="1" x14ac:dyDescent="0.2">
      <c r="A95" s="11">
        <v>89</v>
      </c>
      <c r="B95" s="40" t="s">
        <v>206</v>
      </c>
      <c r="C95" s="321" t="s">
        <v>291</v>
      </c>
      <c r="D95" s="321" t="s">
        <v>290</v>
      </c>
      <c r="E95" s="321" t="s">
        <v>262</v>
      </c>
      <c r="F95" s="42">
        <v>45938</v>
      </c>
      <c r="G95" s="42">
        <v>46029</v>
      </c>
    </row>
    <row r="96" spans="1:7" ht="12.75" customHeight="1" x14ac:dyDescent="0.2">
      <c r="A96" s="11">
        <v>90</v>
      </c>
      <c r="B96" s="40" t="s">
        <v>203</v>
      </c>
      <c r="C96" s="35" t="s">
        <v>292</v>
      </c>
      <c r="D96" s="321" t="s">
        <v>111</v>
      </c>
      <c r="E96" s="328" t="s">
        <v>581</v>
      </c>
      <c r="F96" s="42">
        <v>45939</v>
      </c>
      <c r="G96" s="42">
        <v>46203</v>
      </c>
    </row>
    <row r="97" spans="1:7" ht="12.75" customHeight="1" x14ac:dyDescent="0.2">
      <c r="A97" s="11">
        <v>91</v>
      </c>
      <c r="B97" s="40" t="s">
        <v>206</v>
      </c>
      <c r="C97" s="321" t="s">
        <v>293</v>
      </c>
      <c r="D97" s="321" t="s">
        <v>116</v>
      </c>
      <c r="E97" s="328" t="s">
        <v>581</v>
      </c>
      <c r="F97" s="42">
        <v>45901</v>
      </c>
      <c r="G97" s="42">
        <v>46203</v>
      </c>
    </row>
    <row r="98" spans="1:7" ht="12.75" customHeight="1" x14ac:dyDescent="0.2">
      <c r="A98" s="11">
        <v>92</v>
      </c>
      <c r="B98" s="40" t="s">
        <v>206</v>
      </c>
      <c r="C98" s="321" t="s">
        <v>294</v>
      </c>
      <c r="D98" s="321" t="s">
        <v>290</v>
      </c>
      <c r="E98" s="321" t="s">
        <v>262</v>
      </c>
      <c r="F98" s="42">
        <v>45940</v>
      </c>
      <c r="G98" s="42">
        <v>46022</v>
      </c>
    </row>
    <row r="99" spans="1:7" ht="12.75" customHeight="1" x14ac:dyDescent="0.2">
      <c r="A99" s="324">
        <v>93</v>
      </c>
      <c r="B99" s="40" t="s">
        <v>203</v>
      </c>
      <c r="C99" s="35" t="s">
        <v>240</v>
      </c>
      <c r="D99" s="321" t="s">
        <v>239</v>
      </c>
      <c r="E99" s="321" t="s">
        <v>262</v>
      </c>
      <c r="F99" s="42">
        <v>45939</v>
      </c>
      <c r="G99" s="42">
        <v>46022</v>
      </c>
    </row>
    <row r="100" spans="1:7" ht="12.75" customHeight="1" x14ac:dyDescent="0.2">
      <c r="A100" s="11">
        <v>94</v>
      </c>
      <c r="B100" s="40" t="s">
        <v>204</v>
      </c>
      <c r="C100" s="321" t="s">
        <v>233</v>
      </c>
      <c r="D100" s="321" t="s">
        <v>295</v>
      </c>
      <c r="E100" s="321" t="s">
        <v>262</v>
      </c>
      <c r="F100" s="42">
        <v>45939</v>
      </c>
      <c r="G100" s="42">
        <v>46022</v>
      </c>
    </row>
    <row r="101" spans="1:7" ht="12.75" customHeight="1" x14ac:dyDescent="0.2">
      <c r="A101" s="11">
        <v>95</v>
      </c>
      <c r="B101" s="40" t="s">
        <v>204</v>
      </c>
      <c r="C101" s="321" t="s">
        <v>186</v>
      </c>
      <c r="D101" s="321" t="s">
        <v>296</v>
      </c>
      <c r="E101" s="321" t="s">
        <v>221</v>
      </c>
      <c r="F101" s="42">
        <v>45940</v>
      </c>
      <c r="G101" s="42">
        <v>46022</v>
      </c>
    </row>
    <row r="102" spans="1:7" ht="12.75" customHeight="1" x14ac:dyDescent="0.2">
      <c r="A102" s="11">
        <v>96</v>
      </c>
      <c r="B102" s="40" t="s">
        <v>206</v>
      </c>
      <c r="C102" s="321" t="s">
        <v>244</v>
      </c>
      <c r="D102" s="321" t="s">
        <v>297</v>
      </c>
      <c r="E102" s="321" t="s">
        <v>221</v>
      </c>
      <c r="F102" s="42">
        <v>45943</v>
      </c>
      <c r="G102" s="42">
        <v>46022</v>
      </c>
    </row>
    <row r="103" spans="1:7" ht="12.75" customHeight="1" x14ac:dyDescent="0.2">
      <c r="A103" s="11">
        <v>97</v>
      </c>
      <c r="B103" s="40" t="s">
        <v>206</v>
      </c>
      <c r="C103" s="321" t="s">
        <v>298</v>
      </c>
      <c r="D103" s="321" t="s">
        <v>236</v>
      </c>
      <c r="E103" s="328" t="s">
        <v>581</v>
      </c>
      <c r="F103" s="42">
        <v>45943</v>
      </c>
      <c r="G103" s="42">
        <v>46203</v>
      </c>
    </row>
    <row r="104" spans="1:7" ht="12.75" customHeight="1" x14ac:dyDescent="0.2">
      <c r="A104" s="11">
        <v>98</v>
      </c>
      <c r="B104" s="40" t="s">
        <v>202</v>
      </c>
      <c r="C104" s="321" t="s">
        <v>140</v>
      </c>
      <c r="D104" s="321" t="s">
        <v>132</v>
      </c>
      <c r="E104" s="328" t="s">
        <v>581</v>
      </c>
      <c r="F104" s="42">
        <v>45944</v>
      </c>
      <c r="G104" s="42">
        <v>46203</v>
      </c>
    </row>
    <row r="105" spans="1:7" ht="12.75" customHeight="1" x14ac:dyDescent="0.2">
      <c r="A105" s="11">
        <v>99</v>
      </c>
      <c r="B105" s="40" t="s">
        <v>204</v>
      </c>
      <c r="C105" s="321" t="s">
        <v>299</v>
      </c>
      <c r="D105" s="321" t="s">
        <v>192</v>
      </c>
      <c r="E105" s="321" t="s">
        <v>262</v>
      </c>
      <c r="F105" s="42">
        <v>45944</v>
      </c>
      <c r="G105" s="42">
        <v>46022</v>
      </c>
    </row>
    <row r="106" spans="1:7" ht="12.75" customHeight="1" x14ac:dyDescent="0.2">
      <c r="A106" s="11">
        <v>100</v>
      </c>
      <c r="B106" s="40" t="s">
        <v>202</v>
      </c>
      <c r="C106" s="328" t="s">
        <v>138</v>
      </c>
      <c r="D106" s="333" t="s">
        <v>139</v>
      </c>
      <c r="E106" s="328" t="s">
        <v>580</v>
      </c>
      <c r="F106" s="331">
        <v>45901</v>
      </c>
      <c r="G106" s="331">
        <v>46022</v>
      </c>
    </row>
    <row r="107" spans="1:7" ht="12.75" customHeight="1" x14ac:dyDescent="0.2">
      <c r="A107" s="11">
        <v>101</v>
      </c>
      <c r="B107" s="40" t="s">
        <v>202</v>
      </c>
      <c r="C107" s="328" t="s">
        <v>136</v>
      </c>
      <c r="D107" s="333" t="s">
        <v>137</v>
      </c>
      <c r="E107" s="328" t="s">
        <v>580</v>
      </c>
      <c r="F107" s="331">
        <v>45901</v>
      </c>
      <c r="G107" s="331">
        <v>46022</v>
      </c>
    </row>
    <row r="108" spans="1:7" ht="12.75" customHeight="1" x14ac:dyDescent="0.2">
      <c r="A108" s="11">
        <v>102</v>
      </c>
      <c r="B108" s="40" t="s">
        <v>204</v>
      </c>
      <c r="C108" s="328" t="s">
        <v>300</v>
      </c>
      <c r="D108" s="328" t="s">
        <v>192</v>
      </c>
      <c r="E108" s="328" t="s">
        <v>580</v>
      </c>
      <c r="F108" s="42">
        <v>45901</v>
      </c>
      <c r="G108" s="42">
        <v>46022</v>
      </c>
    </row>
    <row r="109" spans="1:7" ht="12.75" customHeight="1" x14ac:dyDescent="0.2">
      <c r="A109" s="324">
        <v>103</v>
      </c>
      <c r="B109" s="40" t="s">
        <v>206</v>
      </c>
      <c r="C109" s="35" t="s">
        <v>141</v>
      </c>
      <c r="D109" s="35" t="s">
        <v>142</v>
      </c>
      <c r="E109" s="328" t="s">
        <v>580</v>
      </c>
      <c r="F109" s="42">
        <v>45923</v>
      </c>
      <c r="G109" s="42">
        <v>46022</v>
      </c>
    </row>
    <row r="110" spans="1:7" ht="12.75" customHeight="1" x14ac:dyDescent="0.2">
      <c r="A110" s="11">
        <v>104</v>
      </c>
      <c r="B110" s="40" t="s">
        <v>206</v>
      </c>
      <c r="C110" s="35" t="s">
        <v>158</v>
      </c>
      <c r="D110" s="35" t="s">
        <v>157</v>
      </c>
      <c r="E110" s="328" t="s">
        <v>580</v>
      </c>
      <c r="F110" s="42">
        <v>45929</v>
      </c>
      <c r="G110" s="42">
        <v>46022</v>
      </c>
    </row>
    <row r="111" spans="1:7" ht="12.75" customHeight="1" x14ac:dyDescent="0.2">
      <c r="A111" s="11">
        <v>105</v>
      </c>
      <c r="B111" s="11"/>
      <c r="C111" s="328" t="s">
        <v>301</v>
      </c>
      <c r="D111" s="328" t="s">
        <v>139</v>
      </c>
      <c r="E111" s="328" t="s">
        <v>578</v>
      </c>
      <c r="F111" s="329">
        <v>45908</v>
      </c>
      <c r="G111" s="329">
        <v>46568</v>
      </c>
    </row>
    <row r="112" spans="1:7" ht="12.75" customHeight="1" x14ac:dyDescent="0.2">
      <c r="A112" s="11">
        <v>106</v>
      </c>
      <c r="B112" s="11"/>
      <c r="C112" s="328" t="s">
        <v>302</v>
      </c>
      <c r="D112" s="328" t="s">
        <v>139</v>
      </c>
      <c r="E112" s="328" t="s">
        <v>578</v>
      </c>
      <c r="F112" s="329">
        <v>45910</v>
      </c>
      <c r="G112" s="329">
        <v>46530</v>
      </c>
    </row>
    <row r="113" spans="1:7" ht="12.75" customHeight="1" x14ac:dyDescent="0.2">
      <c r="A113" s="11">
        <v>107</v>
      </c>
      <c r="B113" s="40" t="s">
        <v>202</v>
      </c>
      <c r="C113" s="347" t="s">
        <v>102</v>
      </c>
      <c r="D113" s="348" t="s">
        <v>103</v>
      </c>
      <c r="E113" s="347" t="s">
        <v>579</v>
      </c>
      <c r="F113" s="198" t="s">
        <v>303</v>
      </c>
      <c r="G113" s="198" t="s">
        <v>304</v>
      </c>
    </row>
    <row r="114" spans="1:7" ht="12.75" customHeight="1" x14ac:dyDescent="0.2">
      <c r="A114" s="11">
        <v>108</v>
      </c>
      <c r="B114" s="40" t="s">
        <v>202</v>
      </c>
      <c r="C114" s="321" t="s">
        <v>140</v>
      </c>
      <c r="D114" s="321" t="s">
        <v>132</v>
      </c>
      <c r="E114" s="321" t="s">
        <v>305</v>
      </c>
      <c r="F114" s="330">
        <v>45902</v>
      </c>
      <c r="G114" s="330">
        <v>46203</v>
      </c>
    </row>
    <row r="115" spans="1:7" ht="12.75" customHeight="1" x14ac:dyDescent="0.2">
      <c r="A115" s="11">
        <v>109</v>
      </c>
      <c r="B115" s="40" t="s">
        <v>202</v>
      </c>
      <c r="C115" s="321" t="s">
        <v>213</v>
      </c>
      <c r="D115" s="321" t="s">
        <v>132</v>
      </c>
      <c r="E115" s="321" t="s">
        <v>306</v>
      </c>
      <c r="F115" s="42">
        <v>45903</v>
      </c>
      <c r="G115" s="42">
        <v>46203</v>
      </c>
    </row>
    <row r="116" spans="1:7" ht="12.75" customHeight="1" x14ac:dyDescent="0.2">
      <c r="A116" s="11">
        <v>110</v>
      </c>
      <c r="B116" s="40" t="s">
        <v>202</v>
      </c>
      <c r="C116" s="321" t="s">
        <v>214</v>
      </c>
      <c r="D116" s="321" t="s">
        <v>139</v>
      </c>
      <c r="E116" s="328" t="s">
        <v>581</v>
      </c>
      <c r="F116" s="42">
        <v>45904</v>
      </c>
      <c r="G116" s="42">
        <v>46568</v>
      </c>
    </row>
    <row r="117" spans="1:7" ht="12.75" customHeight="1" x14ac:dyDescent="0.2">
      <c r="A117" s="11">
        <v>111</v>
      </c>
      <c r="B117" s="40" t="s">
        <v>202</v>
      </c>
      <c r="C117" s="321" t="s">
        <v>216</v>
      </c>
      <c r="D117" s="321" t="s">
        <v>215</v>
      </c>
      <c r="E117" s="328" t="s">
        <v>581</v>
      </c>
      <c r="F117" s="42">
        <v>45904</v>
      </c>
      <c r="G117" s="42">
        <v>46586</v>
      </c>
    </row>
    <row r="118" spans="1:7" ht="12.75" customHeight="1" x14ac:dyDescent="0.2">
      <c r="A118" s="11">
        <v>112</v>
      </c>
      <c r="B118" s="40"/>
      <c r="C118" s="321" t="s">
        <v>298</v>
      </c>
      <c r="D118" s="321" t="s">
        <v>236</v>
      </c>
      <c r="E118" s="328" t="s">
        <v>581</v>
      </c>
      <c r="F118" s="42">
        <v>45904</v>
      </c>
      <c r="G118" s="42">
        <v>46347</v>
      </c>
    </row>
    <row r="119" spans="1:7" ht="12.75" customHeight="1" x14ac:dyDescent="0.2">
      <c r="A119" s="11">
        <v>113</v>
      </c>
      <c r="B119" s="40"/>
      <c r="C119" s="321" t="s">
        <v>307</v>
      </c>
      <c r="D119" s="321" t="s">
        <v>236</v>
      </c>
      <c r="E119" s="328" t="s">
        <v>581</v>
      </c>
      <c r="F119" s="42">
        <v>45904</v>
      </c>
      <c r="G119" s="42">
        <v>46047</v>
      </c>
    </row>
    <row r="120" spans="1:7" ht="12.75" customHeight="1" x14ac:dyDescent="0.2">
      <c r="A120" s="11">
        <v>114</v>
      </c>
      <c r="B120" s="40" t="s">
        <v>202</v>
      </c>
      <c r="C120" s="328" t="s">
        <v>309</v>
      </c>
      <c r="D120" s="328" t="s">
        <v>308</v>
      </c>
      <c r="E120" s="328" t="s">
        <v>581</v>
      </c>
      <c r="F120" s="350">
        <v>45905</v>
      </c>
      <c r="G120" s="350">
        <v>45925</v>
      </c>
    </row>
    <row r="121" spans="1:7" ht="12.75" customHeight="1" x14ac:dyDescent="0.2">
      <c r="A121" s="324">
        <v>115</v>
      </c>
      <c r="B121" s="40" t="s">
        <v>204</v>
      </c>
      <c r="C121" s="35" t="s">
        <v>311</v>
      </c>
      <c r="D121" s="35" t="s">
        <v>310</v>
      </c>
      <c r="E121" s="35" t="s">
        <v>221</v>
      </c>
      <c r="F121" s="329">
        <v>45905</v>
      </c>
      <c r="G121" s="329">
        <v>46266</v>
      </c>
    </row>
    <row r="122" spans="1:7" ht="12.75" customHeight="1" x14ac:dyDescent="0.2">
      <c r="A122" s="11">
        <v>116</v>
      </c>
      <c r="B122" s="40" t="s">
        <v>203</v>
      </c>
      <c r="C122" s="328" t="s">
        <v>313</v>
      </c>
      <c r="D122" s="328" t="s">
        <v>312</v>
      </c>
      <c r="E122" s="328" t="s">
        <v>581</v>
      </c>
      <c r="F122" s="351">
        <v>45908</v>
      </c>
      <c r="G122" s="351">
        <v>46319</v>
      </c>
    </row>
    <row r="123" spans="1:7" ht="12.75" customHeight="1" x14ac:dyDescent="0.2">
      <c r="A123" s="11">
        <v>117</v>
      </c>
      <c r="B123" s="40" t="s">
        <v>204</v>
      </c>
      <c r="C123" s="328" t="s">
        <v>314</v>
      </c>
      <c r="D123" s="328" t="s">
        <v>180</v>
      </c>
      <c r="E123" s="328" t="s">
        <v>581</v>
      </c>
      <c r="F123" s="329">
        <v>45908</v>
      </c>
      <c r="G123" s="329">
        <v>46057</v>
      </c>
    </row>
    <row r="124" spans="1:7" ht="12.75" customHeight="1" x14ac:dyDescent="0.2">
      <c r="A124" s="11">
        <v>118</v>
      </c>
      <c r="B124" s="40" t="s">
        <v>204</v>
      </c>
      <c r="C124" s="328" t="s">
        <v>316</v>
      </c>
      <c r="D124" s="328" t="s">
        <v>315</v>
      </c>
      <c r="E124" s="328" t="s">
        <v>581</v>
      </c>
      <c r="F124" s="329">
        <v>45908</v>
      </c>
      <c r="G124" s="329">
        <v>46567</v>
      </c>
    </row>
    <row r="125" spans="1:7" ht="12.75" customHeight="1" x14ac:dyDescent="0.2">
      <c r="A125" s="11">
        <v>119</v>
      </c>
      <c r="B125" s="40" t="s">
        <v>203</v>
      </c>
      <c r="C125" s="35" t="s">
        <v>318</v>
      </c>
      <c r="D125" s="35" t="s">
        <v>317</v>
      </c>
      <c r="E125" s="35" t="s">
        <v>221</v>
      </c>
      <c r="F125" s="329">
        <v>45908</v>
      </c>
      <c r="G125" s="329">
        <v>46266</v>
      </c>
    </row>
    <row r="126" spans="1:7" ht="12.75" customHeight="1" x14ac:dyDescent="0.2">
      <c r="A126" s="11">
        <v>120</v>
      </c>
      <c r="B126" s="40" t="s">
        <v>204</v>
      </c>
      <c r="C126" s="35" t="s">
        <v>319</v>
      </c>
      <c r="D126" s="35" t="s">
        <v>189</v>
      </c>
      <c r="E126" s="35" t="s">
        <v>221</v>
      </c>
      <c r="F126" s="329">
        <v>45908</v>
      </c>
      <c r="G126" s="329">
        <v>46266</v>
      </c>
    </row>
    <row r="127" spans="1:7" ht="12.75" customHeight="1" x14ac:dyDescent="0.2">
      <c r="A127" s="11">
        <v>121</v>
      </c>
      <c r="B127" s="40" t="s">
        <v>203</v>
      </c>
      <c r="C127" s="328" t="s">
        <v>320</v>
      </c>
      <c r="D127" s="328" t="s">
        <v>239</v>
      </c>
      <c r="E127" s="328" t="s">
        <v>578</v>
      </c>
      <c r="F127" s="329">
        <v>45911</v>
      </c>
      <c r="G127" s="329">
        <v>46779</v>
      </c>
    </row>
    <row r="128" spans="1:7" ht="12.75" customHeight="1" x14ac:dyDescent="0.2">
      <c r="A128" s="11">
        <v>122</v>
      </c>
      <c r="B128" s="40" t="s">
        <v>203</v>
      </c>
      <c r="C128" s="35" t="s">
        <v>321</v>
      </c>
      <c r="D128" s="35" t="s">
        <v>267</v>
      </c>
      <c r="E128" s="35" t="s">
        <v>221</v>
      </c>
      <c r="F128" s="329">
        <v>45911</v>
      </c>
      <c r="G128" s="329">
        <v>46266</v>
      </c>
    </row>
    <row r="129" spans="1:7" ht="12.75" customHeight="1" x14ac:dyDescent="0.2">
      <c r="A129" s="11">
        <v>123</v>
      </c>
      <c r="B129" s="40" t="s">
        <v>205</v>
      </c>
      <c r="C129" s="35" t="s">
        <v>323</v>
      </c>
      <c r="D129" s="35" t="s">
        <v>322</v>
      </c>
      <c r="E129" s="328" t="s">
        <v>581</v>
      </c>
      <c r="F129" s="329">
        <v>45931</v>
      </c>
      <c r="G129" s="329">
        <v>46568</v>
      </c>
    </row>
    <row r="130" spans="1:7" ht="12.75" customHeight="1" x14ac:dyDescent="0.2">
      <c r="A130" s="11">
        <v>124</v>
      </c>
      <c r="B130" s="40" t="s">
        <v>206</v>
      </c>
      <c r="C130" s="35" t="s">
        <v>324</v>
      </c>
      <c r="D130" s="35" t="s">
        <v>278</v>
      </c>
      <c r="E130" s="35" t="s">
        <v>221</v>
      </c>
      <c r="F130" s="329">
        <v>45916</v>
      </c>
      <c r="G130" s="329">
        <v>46044</v>
      </c>
    </row>
    <row r="131" spans="1:7" ht="12.75" customHeight="1" x14ac:dyDescent="0.2">
      <c r="A131" s="11">
        <v>125</v>
      </c>
      <c r="B131" s="40" t="s">
        <v>206</v>
      </c>
      <c r="C131" s="35" t="s">
        <v>326</v>
      </c>
      <c r="D131" s="35" t="s">
        <v>325</v>
      </c>
      <c r="E131" s="35" t="s">
        <v>221</v>
      </c>
      <c r="F131" s="329">
        <v>45916</v>
      </c>
      <c r="G131" s="329">
        <v>46276</v>
      </c>
    </row>
    <row r="132" spans="1:7" ht="12.75" customHeight="1" x14ac:dyDescent="0.2">
      <c r="A132" s="11">
        <v>126</v>
      </c>
      <c r="B132" s="40" t="s">
        <v>206</v>
      </c>
      <c r="C132" s="328" t="s">
        <v>327</v>
      </c>
      <c r="D132" s="328" t="s">
        <v>236</v>
      </c>
      <c r="E132" s="328" t="s">
        <v>578</v>
      </c>
      <c r="F132" s="329">
        <v>45918</v>
      </c>
      <c r="G132" s="329">
        <v>46310</v>
      </c>
    </row>
    <row r="133" spans="1:7" ht="12.75" customHeight="1" x14ac:dyDescent="0.2">
      <c r="A133" s="324">
        <v>127</v>
      </c>
      <c r="B133" s="40" t="s">
        <v>204</v>
      </c>
      <c r="C133" s="328" t="s">
        <v>329</v>
      </c>
      <c r="D133" s="328" t="s">
        <v>328</v>
      </c>
      <c r="E133" s="328" t="s">
        <v>581</v>
      </c>
      <c r="F133" s="329">
        <v>45918</v>
      </c>
      <c r="G133" s="329">
        <v>46113</v>
      </c>
    </row>
    <row r="134" spans="1:7" ht="12.75" customHeight="1" x14ac:dyDescent="0.2">
      <c r="A134" s="11">
        <v>128</v>
      </c>
      <c r="B134" s="40" t="s">
        <v>206</v>
      </c>
      <c r="C134" s="35" t="s">
        <v>330</v>
      </c>
      <c r="D134" s="35" t="s">
        <v>116</v>
      </c>
      <c r="E134" s="35" t="s">
        <v>221</v>
      </c>
      <c r="F134" s="329">
        <v>45919</v>
      </c>
      <c r="G134" s="329">
        <v>46266</v>
      </c>
    </row>
    <row r="135" spans="1:7" ht="12.75" customHeight="1" x14ac:dyDescent="0.2">
      <c r="A135" s="11">
        <v>129</v>
      </c>
      <c r="B135" s="40" t="s">
        <v>203</v>
      </c>
      <c r="C135" s="35" t="s">
        <v>331</v>
      </c>
      <c r="D135" s="35" t="s">
        <v>95</v>
      </c>
      <c r="E135" s="35" t="s">
        <v>221</v>
      </c>
      <c r="F135" s="329">
        <v>45922</v>
      </c>
      <c r="G135" s="329">
        <v>46266</v>
      </c>
    </row>
    <row r="136" spans="1:7" ht="12.75" customHeight="1" x14ac:dyDescent="0.2">
      <c r="A136" s="11">
        <v>130</v>
      </c>
      <c r="B136" s="40" t="s">
        <v>202</v>
      </c>
      <c r="C136" s="35" t="s">
        <v>332</v>
      </c>
      <c r="D136" s="35" t="s">
        <v>139</v>
      </c>
      <c r="E136" s="35" t="s">
        <v>221</v>
      </c>
      <c r="F136" s="329">
        <v>45930</v>
      </c>
      <c r="G136" s="329">
        <v>46266</v>
      </c>
    </row>
    <row r="137" spans="1:7" ht="12.75" customHeight="1" x14ac:dyDescent="0.2">
      <c r="A137" s="11">
        <v>131</v>
      </c>
      <c r="B137" s="40" t="s">
        <v>206</v>
      </c>
      <c r="C137" s="35" t="s">
        <v>333</v>
      </c>
      <c r="D137" s="35" t="s">
        <v>225</v>
      </c>
      <c r="E137" s="35" t="s">
        <v>221</v>
      </c>
      <c r="F137" s="329">
        <v>45931</v>
      </c>
      <c r="G137" s="329">
        <v>46266</v>
      </c>
    </row>
    <row r="138" spans="1:7" ht="12.75" customHeight="1" x14ac:dyDescent="0.2">
      <c r="A138" s="11">
        <v>132</v>
      </c>
      <c r="B138" s="40" t="s">
        <v>204</v>
      </c>
      <c r="C138" s="35" t="s">
        <v>179</v>
      </c>
      <c r="D138" s="35" t="s">
        <v>180</v>
      </c>
      <c r="E138" s="35" t="s">
        <v>221</v>
      </c>
      <c r="F138" s="329">
        <v>45932</v>
      </c>
      <c r="G138" s="329">
        <v>46265</v>
      </c>
    </row>
    <row r="139" spans="1:7" ht="12.75" customHeight="1" x14ac:dyDescent="0.2">
      <c r="A139" s="11">
        <v>133</v>
      </c>
      <c r="B139" s="40" t="s">
        <v>206</v>
      </c>
      <c r="C139" s="35" t="s">
        <v>294</v>
      </c>
      <c r="D139" s="35" t="s">
        <v>334</v>
      </c>
      <c r="E139" s="35" t="s">
        <v>221</v>
      </c>
      <c r="F139" s="352">
        <v>45938</v>
      </c>
      <c r="G139" s="352">
        <v>46296</v>
      </c>
    </row>
    <row r="140" spans="1:7" ht="12.75" customHeight="1" x14ac:dyDescent="0.2">
      <c r="A140" s="11">
        <v>134</v>
      </c>
      <c r="B140" s="40" t="s">
        <v>203</v>
      </c>
      <c r="C140" s="35" t="s">
        <v>336</v>
      </c>
      <c r="D140" s="35" t="s">
        <v>335</v>
      </c>
      <c r="E140" s="35" t="s">
        <v>221</v>
      </c>
      <c r="F140" s="329">
        <v>45939</v>
      </c>
      <c r="G140" s="329">
        <v>46296</v>
      </c>
    </row>
    <row r="141" spans="1:7" ht="12.75" customHeight="1" x14ac:dyDescent="0.2">
      <c r="A141" s="11">
        <v>135</v>
      </c>
      <c r="B141" s="40" t="s">
        <v>204</v>
      </c>
      <c r="C141" s="353" t="s">
        <v>337</v>
      </c>
      <c r="D141" s="353" t="s">
        <v>192</v>
      </c>
      <c r="E141" s="353" t="s">
        <v>221</v>
      </c>
      <c r="F141" s="352">
        <v>45926</v>
      </c>
      <c r="G141" s="354">
        <v>46266</v>
      </c>
    </row>
    <row r="142" spans="1:7" ht="12.75" customHeight="1" x14ac:dyDescent="0.2">
      <c r="A142" s="11">
        <v>136</v>
      </c>
      <c r="B142" s="40" t="s">
        <v>203</v>
      </c>
      <c r="C142" s="328" t="s">
        <v>338</v>
      </c>
      <c r="D142" s="328" t="s">
        <v>312</v>
      </c>
      <c r="E142" s="328" t="s">
        <v>339</v>
      </c>
      <c r="F142" s="329">
        <v>45901</v>
      </c>
      <c r="G142" s="355">
        <v>46265</v>
      </c>
    </row>
    <row r="143" spans="1:7" ht="12.75" customHeight="1" x14ac:dyDescent="0.2">
      <c r="A143" s="324">
        <v>137</v>
      </c>
      <c r="B143" s="40" t="s">
        <v>205</v>
      </c>
      <c r="C143" s="356" t="s">
        <v>340</v>
      </c>
      <c r="D143" s="356" t="s">
        <v>83</v>
      </c>
      <c r="E143" s="328" t="s">
        <v>339</v>
      </c>
      <c r="F143" s="329">
        <v>45901</v>
      </c>
      <c r="G143" s="357">
        <v>46203</v>
      </c>
    </row>
    <row r="144" spans="1:7" ht="12.75" customHeight="1" x14ac:dyDescent="0.2">
      <c r="A144" s="11">
        <v>138</v>
      </c>
      <c r="B144" s="40" t="s">
        <v>202</v>
      </c>
      <c r="C144" s="328" t="s">
        <v>341</v>
      </c>
      <c r="D144" s="328" t="s">
        <v>134</v>
      </c>
      <c r="E144" s="328" t="s">
        <v>339</v>
      </c>
      <c r="F144" s="329">
        <v>45901</v>
      </c>
      <c r="G144" s="355">
        <v>46265</v>
      </c>
    </row>
    <row r="145" spans="1:7" ht="12.75" customHeight="1" x14ac:dyDescent="0.2">
      <c r="A145" s="11">
        <v>139</v>
      </c>
      <c r="B145" s="40" t="s">
        <v>206</v>
      </c>
      <c r="C145" s="35" t="s">
        <v>343</v>
      </c>
      <c r="D145" s="35" t="s">
        <v>342</v>
      </c>
      <c r="E145" s="328" t="s">
        <v>339</v>
      </c>
      <c r="F145" s="329">
        <v>45901</v>
      </c>
      <c r="G145" s="355">
        <v>46265</v>
      </c>
    </row>
    <row r="146" spans="1:7" ht="12.75" customHeight="1" x14ac:dyDescent="0.2">
      <c r="A146" s="11">
        <v>140</v>
      </c>
      <c r="B146" s="40" t="s">
        <v>204</v>
      </c>
      <c r="C146" s="35" t="s">
        <v>344</v>
      </c>
      <c r="D146" s="35" t="s">
        <v>265</v>
      </c>
      <c r="E146" s="328" t="s">
        <v>339</v>
      </c>
      <c r="F146" s="329">
        <v>45901</v>
      </c>
      <c r="G146" s="355">
        <v>46265</v>
      </c>
    </row>
    <row r="147" spans="1:7" ht="12.75" customHeight="1" x14ac:dyDescent="0.2">
      <c r="A147" s="11">
        <v>141</v>
      </c>
      <c r="B147" s="40" t="s">
        <v>202</v>
      </c>
      <c r="C147" s="328" t="s">
        <v>346</v>
      </c>
      <c r="D147" s="328" t="s">
        <v>345</v>
      </c>
      <c r="E147" s="328" t="s">
        <v>339</v>
      </c>
      <c r="F147" s="329">
        <v>45901</v>
      </c>
      <c r="G147" s="355">
        <v>46265</v>
      </c>
    </row>
    <row r="148" spans="1:7" ht="12.75" customHeight="1" x14ac:dyDescent="0.2">
      <c r="A148" s="11">
        <v>142</v>
      </c>
      <c r="B148" s="40" t="s">
        <v>203</v>
      </c>
      <c r="C148" s="328" t="s">
        <v>347</v>
      </c>
      <c r="D148" s="328" t="s">
        <v>239</v>
      </c>
      <c r="E148" s="328" t="s">
        <v>339</v>
      </c>
      <c r="F148" s="329">
        <v>45901</v>
      </c>
      <c r="G148" s="355">
        <v>47299</v>
      </c>
    </row>
    <row r="149" spans="1:7" ht="12.75" customHeight="1" x14ac:dyDescent="0.2">
      <c r="A149" s="11">
        <v>143</v>
      </c>
      <c r="B149" s="40" t="s">
        <v>205</v>
      </c>
      <c r="C149" s="335" t="s">
        <v>349</v>
      </c>
      <c r="D149" s="358" t="s">
        <v>348</v>
      </c>
      <c r="E149" s="328" t="s">
        <v>339</v>
      </c>
      <c r="F149" s="329">
        <v>45901</v>
      </c>
      <c r="G149" s="355">
        <v>46265</v>
      </c>
    </row>
    <row r="150" spans="1:7" ht="12.75" customHeight="1" x14ac:dyDescent="0.2">
      <c r="A150" s="11">
        <v>144</v>
      </c>
      <c r="B150" s="40" t="s">
        <v>205</v>
      </c>
      <c r="C150" s="356" t="s">
        <v>350</v>
      </c>
      <c r="D150" s="356" t="s">
        <v>348</v>
      </c>
      <c r="E150" s="328" t="s">
        <v>339</v>
      </c>
      <c r="F150" s="329">
        <v>45901</v>
      </c>
      <c r="G150" s="356"/>
    </row>
    <row r="151" spans="1:7" ht="12.75" customHeight="1" x14ac:dyDescent="0.2">
      <c r="A151" s="11">
        <v>145</v>
      </c>
      <c r="B151" s="40" t="s">
        <v>206</v>
      </c>
      <c r="C151" s="356" t="s">
        <v>351</v>
      </c>
      <c r="D151" s="356" t="s">
        <v>325</v>
      </c>
      <c r="E151" s="328" t="s">
        <v>339</v>
      </c>
      <c r="F151" s="329">
        <v>45901</v>
      </c>
      <c r="G151" s="356"/>
    </row>
    <row r="152" spans="1:7" ht="12.75" customHeight="1" x14ac:dyDescent="0.2">
      <c r="A152" s="11">
        <v>146</v>
      </c>
      <c r="B152" s="40" t="s">
        <v>205</v>
      </c>
      <c r="C152" s="35" t="s">
        <v>352</v>
      </c>
      <c r="D152" s="35" t="s">
        <v>194</v>
      </c>
      <c r="E152" s="328" t="s">
        <v>339</v>
      </c>
      <c r="F152" s="329">
        <v>45901</v>
      </c>
      <c r="G152" s="355">
        <v>46265</v>
      </c>
    </row>
    <row r="153" spans="1:7" ht="12.75" customHeight="1" x14ac:dyDescent="0.2">
      <c r="A153" s="11">
        <v>147</v>
      </c>
      <c r="B153" s="40" t="s">
        <v>204</v>
      </c>
      <c r="C153" s="35" t="s">
        <v>353</v>
      </c>
      <c r="D153" s="35" t="s">
        <v>185</v>
      </c>
      <c r="E153" s="328" t="s">
        <v>354</v>
      </c>
      <c r="F153" s="329">
        <v>45901</v>
      </c>
      <c r="G153" s="355">
        <v>46265</v>
      </c>
    </row>
    <row r="154" spans="1:7" ht="12.75" customHeight="1" x14ac:dyDescent="0.2">
      <c r="A154" s="11">
        <v>148</v>
      </c>
      <c r="B154" s="40" t="s">
        <v>205</v>
      </c>
      <c r="C154" s="335" t="s">
        <v>355</v>
      </c>
      <c r="D154" s="358" t="s">
        <v>199</v>
      </c>
      <c r="E154" s="328" t="s">
        <v>339</v>
      </c>
      <c r="F154" s="329">
        <v>45901</v>
      </c>
      <c r="G154" s="355">
        <v>46265</v>
      </c>
    </row>
    <row r="155" spans="1:7" ht="12.75" customHeight="1" x14ac:dyDescent="0.2">
      <c r="A155" s="324">
        <v>149</v>
      </c>
      <c r="B155" s="40" t="s">
        <v>203</v>
      </c>
      <c r="C155" s="328" t="s">
        <v>356</v>
      </c>
      <c r="D155" s="328" t="s">
        <v>239</v>
      </c>
      <c r="E155" s="328" t="s">
        <v>339</v>
      </c>
      <c r="F155" s="329">
        <v>45901</v>
      </c>
      <c r="G155" s="355">
        <v>47299</v>
      </c>
    </row>
    <row r="156" spans="1:7" ht="12.75" customHeight="1" x14ac:dyDescent="0.2">
      <c r="A156" s="11">
        <v>150</v>
      </c>
      <c r="B156" s="40" t="s">
        <v>205</v>
      </c>
      <c r="C156" s="356" t="s">
        <v>358</v>
      </c>
      <c r="D156" s="356" t="s">
        <v>357</v>
      </c>
      <c r="E156" s="328" t="s">
        <v>339</v>
      </c>
      <c r="F156" s="329">
        <v>45901</v>
      </c>
      <c r="G156" s="357">
        <v>46934</v>
      </c>
    </row>
    <row r="157" spans="1:7" ht="12.75" customHeight="1" x14ac:dyDescent="0.2">
      <c r="A157" s="11">
        <v>151</v>
      </c>
      <c r="B157" s="40" t="s">
        <v>203</v>
      </c>
      <c r="C157" s="328" t="s">
        <v>359</v>
      </c>
      <c r="D157" s="328" t="s">
        <v>312</v>
      </c>
      <c r="E157" s="328" t="s">
        <v>339</v>
      </c>
      <c r="F157" s="329">
        <v>45901</v>
      </c>
      <c r="G157" s="355">
        <v>46265</v>
      </c>
    </row>
    <row r="158" spans="1:7" ht="12.75" customHeight="1" x14ac:dyDescent="0.2">
      <c r="A158" s="11">
        <v>152</v>
      </c>
      <c r="B158" s="40" t="s">
        <v>206</v>
      </c>
      <c r="C158" s="35" t="s">
        <v>360</v>
      </c>
      <c r="D158" s="35" t="s">
        <v>342</v>
      </c>
      <c r="E158" s="328" t="s">
        <v>339</v>
      </c>
      <c r="F158" s="329">
        <v>45901</v>
      </c>
      <c r="G158" s="355">
        <v>46265</v>
      </c>
    </row>
    <row r="159" spans="1:7" ht="12.75" customHeight="1" x14ac:dyDescent="0.2">
      <c r="A159" s="11">
        <v>153</v>
      </c>
      <c r="B159" s="40" t="s">
        <v>203</v>
      </c>
      <c r="C159" s="328" t="s">
        <v>361</v>
      </c>
      <c r="D159" s="328" t="s">
        <v>312</v>
      </c>
      <c r="E159" s="328" t="s">
        <v>339</v>
      </c>
      <c r="F159" s="329">
        <v>45901</v>
      </c>
      <c r="G159" s="355">
        <v>46265</v>
      </c>
    </row>
    <row r="160" spans="1:7" ht="12.75" customHeight="1" x14ac:dyDescent="0.2">
      <c r="A160" s="11">
        <v>154</v>
      </c>
      <c r="B160" s="40" t="s">
        <v>206</v>
      </c>
      <c r="C160" s="356" t="s">
        <v>362</v>
      </c>
      <c r="D160" s="356" t="s">
        <v>99</v>
      </c>
      <c r="E160" s="328" t="s">
        <v>339</v>
      </c>
      <c r="F160" s="329">
        <v>45901</v>
      </c>
      <c r="G160" s="357">
        <v>46203</v>
      </c>
    </row>
    <row r="161" spans="1:7" ht="12.75" customHeight="1" x14ac:dyDescent="0.2">
      <c r="A161" s="11">
        <v>155</v>
      </c>
      <c r="B161" s="40" t="s">
        <v>203</v>
      </c>
      <c r="C161" s="328" t="s">
        <v>240</v>
      </c>
      <c r="D161" s="328" t="s">
        <v>239</v>
      </c>
      <c r="E161" s="328" t="s">
        <v>339</v>
      </c>
      <c r="F161" s="329">
        <v>45901</v>
      </c>
      <c r="G161" s="355">
        <v>46265</v>
      </c>
    </row>
    <row r="162" spans="1:7" ht="12.75" customHeight="1" x14ac:dyDescent="0.2">
      <c r="A162" s="11">
        <v>156</v>
      </c>
      <c r="B162" s="40" t="s">
        <v>205</v>
      </c>
      <c r="C162" s="356" t="s">
        <v>364</v>
      </c>
      <c r="D162" s="356" t="s">
        <v>363</v>
      </c>
      <c r="E162" s="328" t="s">
        <v>339</v>
      </c>
      <c r="F162" s="329">
        <v>45901</v>
      </c>
      <c r="G162" s="356"/>
    </row>
    <row r="163" spans="1:7" ht="12.75" customHeight="1" x14ac:dyDescent="0.2">
      <c r="A163" s="11">
        <v>157</v>
      </c>
      <c r="B163" s="40" t="s">
        <v>202</v>
      </c>
      <c r="C163" s="35" t="s">
        <v>365</v>
      </c>
      <c r="D163" s="35" t="s">
        <v>131</v>
      </c>
      <c r="E163" s="328" t="s">
        <v>339</v>
      </c>
      <c r="F163" s="329">
        <v>45901</v>
      </c>
      <c r="G163" s="355">
        <v>46265</v>
      </c>
    </row>
    <row r="164" spans="1:7" ht="12.75" customHeight="1" x14ac:dyDescent="0.2">
      <c r="A164" s="11">
        <v>158</v>
      </c>
      <c r="B164" s="40" t="s">
        <v>205</v>
      </c>
      <c r="C164" s="35" t="s">
        <v>366</v>
      </c>
      <c r="D164" s="35" t="s">
        <v>335</v>
      </c>
      <c r="E164" s="328" t="s">
        <v>339</v>
      </c>
      <c r="F164" s="329">
        <v>45901</v>
      </c>
      <c r="G164" s="355">
        <v>46265</v>
      </c>
    </row>
    <row r="165" spans="1:7" ht="12.75" customHeight="1" x14ac:dyDescent="0.2">
      <c r="A165" s="11">
        <v>159</v>
      </c>
      <c r="B165" s="40" t="s">
        <v>206</v>
      </c>
      <c r="C165" s="328" t="s">
        <v>367</v>
      </c>
      <c r="D165" s="328" t="s">
        <v>225</v>
      </c>
      <c r="E165" s="328" t="s">
        <v>339</v>
      </c>
      <c r="F165" s="329">
        <v>45901</v>
      </c>
      <c r="G165" s="355">
        <v>46265</v>
      </c>
    </row>
    <row r="166" spans="1:7" ht="12.75" customHeight="1" x14ac:dyDescent="0.2">
      <c r="A166" s="11">
        <v>160</v>
      </c>
      <c r="B166" s="40" t="s">
        <v>206</v>
      </c>
      <c r="C166" s="35" t="s">
        <v>369</v>
      </c>
      <c r="D166" s="35" t="s">
        <v>368</v>
      </c>
      <c r="E166" s="328" t="s">
        <v>339</v>
      </c>
      <c r="F166" s="329">
        <v>45901</v>
      </c>
      <c r="G166" s="355">
        <v>46265</v>
      </c>
    </row>
    <row r="167" spans="1:7" ht="12.75" customHeight="1" x14ac:dyDescent="0.2">
      <c r="A167" s="324">
        <v>161</v>
      </c>
      <c r="B167" s="40" t="s">
        <v>203</v>
      </c>
      <c r="C167" s="35" t="s">
        <v>371</v>
      </c>
      <c r="D167" s="35" t="s">
        <v>370</v>
      </c>
      <c r="E167" s="328" t="s">
        <v>339</v>
      </c>
      <c r="F167" s="329">
        <v>45901</v>
      </c>
      <c r="G167" s="355">
        <v>46203</v>
      </c>
    </row>
    <row r="168" spans="1:7" ht="12.75" customHeight="1" x14ac:dyDescent="0.2">
      <c r="A168" s="11">
        <v>162</v>
      </c>
      <c r="B168" s="40" t="s">
        <v>206</v>
      </c>
      <c r="C168" s="35" t="s">
        <v>372</v>
      </c>
      <c r="D168" s="35" t="s">
        <v>225</v>
      </c>
      <c r="E168" s="328" t="s">
        <v>339</v>
      </c>
      <c r="F168" s="329">
        <v>45901</v>
      </c>
      <c r="G168" s="355">
        <v>46265</v>
      </c>
    </row>
    <row r="169" spans="1:7" ht="12.75" customHeight="1" x14ac:dyDescent="0.2">
      <c r="A169" s="11">
        <v>163</v>
      </c>
      <c r="B169" s="40" t="s">
        <v>203</v>
      </c>
      <c r="C169" s="35" t="s">
        <v>373</v>
      </c>
      <c r="D169" s="35" t="s">
        <v>312</v>
      </c>
      <c r="E169" s="35" t="s">
        <v>339</v>
      </c>
      <c r="F169" s="329">
        <v>45901</v>
      </c>
      <c r="G169" s="355">
        <v>46265</v>
      </c>
    </row>
    <row r="170" spans="1:7" ht="12.75" customHeight="1" x14ac:dyDescent="0.2">
      <c r="A170" s="11">
        <v>164</v>
      </c>
      <c r="B170" s="40" t="s">
        <v>203</v>
      </c>
      <c r="C170" s="356" t="s">
        <v>374</v>
      </c>
      <c r="D170" s="356" t="s">
        <v>312</v>
      </c>
      <c r="E170" s="328" t="s">
        <v>339</v>
      </c>
      <c r="F170" s="329">
        <v>45901</v>
      </c>
      <c r="G170" s="355">
        <v>47299</v>
      </c>
    </row>
    <row r="171" spans="1:7" ht="12.75" customHeight="1" x14ac:dyDescent="0.2">
      <c r="A171" s="11">
        <v>165</v>
      </c>
      <c r="B171" s="40" t="s">
        <v>203</v>
      </c>
      <c r="C171" s="35" t="s">
        <v>376</v>
      </c>
      <c r="D171" s="35" t="s">
        <v>375</v>
      </c>
      <c r="E171" s="328" t="s">
        <v>339</v>
      </c>
      <c r="F171" s="329">
        <v>45901</v>
      </c>
      <c r="G171" s="355">
        <v>46203</v>
      </c>
    </row>
    <row r="172" spans="1:7" ht="12.75" customHeight="1" x14ac:dyDescent="0.2">
      <c r="A172" s="11">
        <v>166</v>
      </c>
      <c r="B172" s="40" t="s">
        <v>202</v>
      </c>
      <c r="C172" s="35" t="s">
        <v>377</v>
      </c>
      <c r="D172" s="35" t="s">
        <v>345</v>
      </c>
      <c r="E172" s="328" t="s">
        <v>339</v>
      </c>
      <c r="F172" s="329">
        <v>45901</v>
      </c>
      <c r="G172" s="355">
        <v>46203</v>
      </c>
    </row>
    <row r="173" spans="1:7" ht="12.75" customHeight="1" x14ac:dyDescent="0.2">
      <c r="A173" s="11">
        <v>167</v>
      </c>
      <c r="B173" s="40" t="s">
        <v>205</v>
      </c>
      <c r="C173" s="356" t="s">
        <v>378</v>
      </c>
      <c r="D173" s="356" t="s">
        <v>357</v>
      </c>
      <c r="E173" s="328" t="s">
        <v>339</v>
      </c>
      <c r="F173" s="329">
        <v>45901</v>
      </c>
      <c r="G173" s="355">
        <v>46203</v>
      </c>
    </row>
    <row r="174" spans="1:7" ht="12.75" customHeight="1" x14ac:dyDescent="0.2">
      <c r="A174" s="11">
        <v>168</v>
      </c>
      <c r="B174" s="40" t="s">
        <v>203</v>
      </c>
      <c r="C174" s="328" t="s">
        <v>379</v>
      </c>
      <c r="D174" s="328" t="s">
        <v>267</v>
      </c>
      <c r="E174" s="328" t="s">
        <v>339</v>
      </c>
      <c r="F174" s="329">
        <v>45901</v>
      </c>
      <c r="G174" s="355">
        <v>46203</v>
      </c>
    </row>
    <row r="175" spans="1:7" ht="12.75" customHeight="1" x14ac:dyDescent="0.2">
      <c r="A175" s="11">
        <v>169</v>
      </c>
      <c r="B175" s="40" t="s">
        <v>205</v>
      </c>
      <c r="C175" s="356" t="s">
        <v>382</v>
      </c>
      <c r="D175" s="356" t="s">
        <v>380</v>
      </c>
      <c r="E175" s="328" t="s">
        <v>339</v>
      </c>
      <c r="F175" s="329" t="s">
        <v>381</v>
      </c>
      <c r="G175" s="356"/>
    </row>
    <row r="176" spans="1:7" ht="12.75" customHeight="1" x14ac:dyDescent="0.2">
      <c r="A176" s="11">
        <v>170</v>
      </c>
      <c r="B176" s="40" t="s">
        <v>203</v>
      </c>
      <c r="C176" s="328" t="s">
        <v>384</v>
      </c>
      <c r="D176" s="328" t="s">
        <v>383</v>
      </c>
      <c r="E176" s="328" t="s">
        <v>339</v>
      </c>
      <c r="F176" s="329">
        <v>45901</v>
      </c>
      <c r="G176" s="355">
        <v>47299</v>
      </c>
    </row>
    <row r="177" spans="1:7" ht="12.75" customHeight="1" x14ac:dyDescent="0.2">
      <c r="A177" s="324">
        <v>171</v>
      </c>
      <c r="B177" s="40" t="s">
        <v>205</v>
      </c>
      <c r="C177" s="335" t="s">
        <v>385</v>
      </c>
      <c r="D177" s="358" t="s">
        <v>357</v>
      </c>
      <c r="E177" s="328" t="s">
        <v>339</v>
      </c>
      <c r="F177" s="329">
        <v>45901</v>
      </c>
      <c r="G177" s="355">
        <v>46203</v>
      </c>
    </row>
    <row r="178" spans="1:7" ht="12.75" customHeight="1" x14ac:dyDescent="0.2">
      <c r="A178" s="11">
        <v>172</v>
      </c>
      <c r="B178" s="40" t="s">
        <v>203</v>
      </c>
      <c r="C178" s="328" t="s">
        <v>386</v>
      </c>
      <c r="D178" s="328" t="s">
        <v>312</v>
      </c>
      <c r="E178" s="328" t="s">
        <v>339</v>
      </c>
      <c r="F178" s="329">
        <v>45901</v>
      </c>
      <c r="G178" s="355">
        <v>46203</v>
      </c>
    </row>
    <row r="179" spans="1:7" ht="12.75" customHeight="1" x14ac:dyDescent="0.2">
      <c r="A179" s="11">
        <v>173</v>
      </c>
      <c r="B179" s="40"/>
      <c r="C179" s="333" t="s">
        <v>387</v>
      </c>
      <c r="D179" s="333"/>
      <c r="E179" s="333" t="s">
        <v>388</v>
      </c>
      <c r="F179" s="321"/>
      <c r="G179" s="321"/>
    </row>
    <row r="180" spans="1:7" ht="12.75" customHeight="1" x14ac:dyDescent="0.2">
      <c r="A180" s="11">
        <v>174</v>
      </c>
      <c r="B180" s="40"/>
      <c r="C180" s="333" t="s">
        <v>389</v>
      </c>
      <c r="D180" s="333"/>
      <c r="E180" s="333" t="s">
        <v>388</v>
      </c>
      <c r="F180" s="321"/>
      <c r="G180" s="321"/>
    </row>
    <row r="181" spans="1:7" ht="12.75" customHeight="1" x14ac:dyDescent="0.2">
      <c r="A181" s="11">
        <v>175</v>
      </c>
      <c r="B181" s="40"/>
      <c r="C181" s="333" t="s">
        <v>390</v>
      </c>
      <c r="D181" s="333"/>
      <c r="E181" s="328" t="s">
        <v>580</v>
      </c>
      <c r="F181" s="321"/>
      <c r="G181" s="321"/>
    </row>
    <row r="182" spans="1:7" ht="12.75" customHeight="1" x14ac:dyDescent="0.2">
      <c r="A182" s="11">
        <v>176</v>
      </c>
      <c r="B182" s="40"/>
      <c r="C182" s="333" t="s">
        <v>391</v>
      </c>
      <c r="D182" s="333"/>
      <c r="E182" s="328" t="s">
        <v>580</v>
      </c>
      <c r="F182" s="321"/>
      <c r="G182" s="321"/>
    </row>
    <row r="183" spans="1:7" ht="12.75" customHeight="1" x14ac:dyDescent="0.2">
      <c r="A183" s="11">
        <v>177</v>
      </c>
      <c r="B183" s="40"/>
      <c r="C183" s="333" t="s">
        <v>392</v>
      </c>
      <c r="D183" s="333"/>
      <c r="E183" s="333" t="s">
        <v>388</v>
      </c>
      <c r="F183" s="321"/>
      <c r="G183" s="321"/>
    </row>
    <row r="184" spans="1:7" ht="12.75" customHeight="1" x14ac:dyDescent="0.2">
      <c r="A184" s="11">
        <v>178</v>
      </c>
      <c r="B184" s="40"/>
      <c r="C184" s="333" t="s">
        <v>393</v>
      </c>
      <c r="D184" s="333"/>
      <c r="E184" s="333" t="s">
        <v>339</v>
      </c>
      <c r="F184" s="321"/>
      <c r="G184" s="321"/>
    </row>
    <row r="185" spans="1:7" ht="12.75" customHeight="1" x14ac:dyDescent="0.2">
      <c r="A185" s="11">
        <v>179</v>
      </c>
      <c r="B185" s="40"/>
      <c r="C185" s="359" t="s">
        <v>394</v>
      </c>
      <c r="D185" s="333"/>
      <c r="E185" s="333" t="s">
        <v>388</v>
      </c>
      <c r="F185" s="321"/>
      <c r="G185" s="321"/>
    </row>
    <row r="186" spans="1:7" ht="12.75" customHeight="1" x14ac:dyDescent="0.2">
      <c r="A186" s="11">
        <v>180</v>
      </c>
      <c r="B186" s="40"/>
      <c r="C186" s="333" t="s">
        <v>395</v>
      </c>
      <c r="D186" s="359"/>
      <c r="E186" s="333" t="s">
        <v>396</v>
      </c>
      <c r="F186" s="321"/>
      <c r="G186" s="321"/>
    </row>
    <row r="187" spans="1:7" ht="12.75" customHeight="1" x14ac:dyDescent="0.2">
      <c r="A187" s="11">
        <v>181</v>
      </c>
      <c r="B187" s="40"/>
      <c r="C187" s="333" t="s">
        <v>397</v>
      </c>
      <c r="D187" s="333"/>
      <c r="E187" s="333" t="s">
        <v>388</v>
      </c>
      <c r="F187" s="321"/>
      <c r="G187" s="321"/>
    </row>
    <row r="188" spans="1:7" ht="12.75" customHeight="1" x14ac:dyDescent="0.2">
      <c r="A188" s="11">
        <v>182</v>
      </c>
      <c r="B188" s="40"/>
      <c r="C188" s="333" t="s">
        <v>398</v>
      </c>
      <c r="D188" s="333"/>
      <c r="E188" s="328" t="s">
        <v>580</v>
      </c>
      <c r="F188" s="321"/>
      <c r="G188" s="321"/>
    </row>
    <row r="189" spans="1:7" ht="12.75" customHeight="1" x14ac:dyDescent="0.2">
      <c r="A189" s="324">
        <v>183</v>
      </c>
      <c r="B189" s="40"/>
      <c r="C189" s="333" t="s">
        <v>399</v>
      </c>
      <c r="D189" s="333"/>
      <c r="E189" s="328" t="s">
        <v>580</v>
      </c>
      <c r="F189" s="321"/>
      <c r="G189" s="321"/>
    </row>
    <row r="190" spans="1:7" ht="12.75" customHeight="1" x14ac:dyDescent="0.2">
      <c r="A190" s="11">
        <v>184</v>
      </c>
      <c r="B190" s="40"/>
      <c r="C190" s="333" t="s">
        <v>400</v>
      </c>
      <c r="D190" s="333"/>
      <c r="E190" s="328" t="s">
        <v>580</v>
      </c>
      <c r="F190" s="321"/>
      <c r="G190" s="321"/>
    </row>
    <row r="191" spans="1:7" ht="12.75" customHeight="1" x14ac:dyDescent="0.2">
      <c r="A191" s="11">
        <v>185</v>
      </c>
      <c r="B191" s="40"/>
      <c r="C191" s="333" t="s">
        <v>401</v>
      </c>
      <c r="D191" s="333"/>
      <c r="E191" s="333" t="s">
        <v>339</v>
      </c>
      <c r="F191" s="321"/>
      <c r="G191" s="321"/>
    </row>
    <row r="192" spans="1:7" ht="12.75" customHeight="1" x14ac:dyDescent="0.2">
      <c r="A192" s="11">
        <v>186</v>
      </c>
      <c r="B192" s="40"/>
      <c r="C192" s="333" t="s">
        <v>402</v>
      </c>
      <c r="D192" s="333"/>
      <c r="E192" s="333" t="s">
        <v>388</v>
      </c>
      <c r="F192" s="321"/>
      <c r="G192" s="321"/>
    </row>
    <row r="193" spans="1:7" ht="12.75" customHeight="1" x14ac:dyDescent="0.2">
      <c r="A193" s="11">
        <v>187</v>
      </c>
      <c r="B193" s="40"/>
      <c r="C193" s="333" t="s">
        <v>403</v>
      </c>
      <c r="D193" s="333"/>
      <c r="E193" s="333" t="s">
        <v>339</v>
      </c>
      <c r="F193" s="321"/>
      <c r="G193" s="321"/>
    </row>
    <row r="194" spans="1:7" ht="12.75" customHeight="1" x14ac:dyDescent="0.2">
      <c r="A194" s="11">
        <v>188</v>
      </c>
      <c r="B194" s="40"/>
      <c r="C194" s="333" t="s">
        <v>404</v>
      </c>
      <c r="D194" s="360"/>
      <c r="E194" s="333" t="s">
        <v>339</v>
      </c>
      <c r="F194" s="321"/>
      <c r="G194" s="321"/>
    </row>
    <row r="195" spans="1:7" ht="12.75" customHeight="1" x14ac:dyDescent="0.2">
      <c r="A195" s="11">
        <v>189</v>
      </c>
      <c r="B195" s="361"/>
      <c r="C195" s="359" t="s">
        <v>405</v>
      </c>
      <c r="D195" s="333"/>
      <c r="E195" s="333" t="s">
        <v>339</v>
      </c>
      <c r="F195" s="321"/>
      <c r="G195" s="321"/>
    </row>
    <row r="196" spans="1:7" ht="12.75" customHeight="1" x14ac:dyDescent="0.2">
      <c r="A196" s="11">
        <v>190</v>
      </c>
      <c r="B196" s="361"/>
      <c r="C196" s="333" t="s">
        <v>406</v>
      </c>
      <c r="D196" s="333"/>
      <c r="E196" s="333" t="s">
        <v>388</v>
      </c>
      <c r="F196" s="321"/>
      <c r="G196" s="321"/>
    </row>
    <row r="197" spans="1:7" ht="12.75" customHeight="1" x14ac:dyDescent="0.2">
      <c r="A197" s="11">
        <v>191</v>
      </c>
      <c r="B197" s="361"/>
      <c r="C197" s="362" t="s">
        <v>407</v>
      </c>
      <c r="D197" s="333"/>
      <c r="E197" s="333" t="s">
        <v>388</v>
      </c>
      <c r="F197" s="321"/>
      <c r="G197" s="321"/>
    </row>
    <row r="198" spans="1:7" ht="12.75" customHeight="1" x14ac:dyDescent="0.2">
      <c r="A198" s="11">
        <v>192</v>
      </c>
      <c r="B198" s="361"/>
      <c r="C198" s="333" t="s">
        <v>408</v>
      </c>
      <c r="D198" s="360"/>
      <c r="E198" s="328" t="s">
        <v>580</v>
      </c>
      <c r="F198" s="321"/>
      <c r="G198" s="321"/>
    </row>
    <row r="199" spans="1:7" ht="12.75" customHeight="1" x14ac:dyDescent="0.2">
      <c r="A199" s="11">
        <v>193</v>
      </c>
      <c r="B199" s="361"/>
      <c r="C199" s="333" t="s">
        <v>409</v>
      </c>
      <c r="D199" s="333" t="s">
        <v>239</v>
      </c>
      <c r="E199" s="363" t="s">
        <v>388</v>
      </c>
      <c r="F199" s="321"/>
      <c r="G199" s="321"/>
    </row>
    <row r="200" spans="1:7" ht="12.75" customHeight="1" x14ac:dyDescent="0.2">
      <c r="A200" s="11">
        <v>194</v>
      </c>
      <c r="B200" s="361"/>
      <c r="C200" s="333" t="s">
        <v>410</v>
      </c>
      <c r="D200" s="333" t="s">
        <v>239</v>
      </c>
      <c r="E200" s="363" t="s">
        <v>388</v>
      </c>
      <c r="F200" s="321"/>
      <c r="G200" s="321"/>
    </row>
    <row r="201" spans="1:7" ht="12.75" customHeight="1" x14ac:dyDescent="0.2">
      <c r="A201" s="324">
        <v>195</v>
      </c>
      <c r="B201" s="361"/>
      <c r="C201" s="333" t="s">
        <v>347</v>
      </c>
      <c r="D201" s="333" t="s">
        <v>239</v>
      </c>
      <c r="E201" s="328" t="s">
        <v>578</v>
      </c>
      <c r="F201" s="321"/>
      <c r="G201" s="321"/>
    </row>
    <row r="202" spans="1:7" ht="12.75" customHeight="1" x14ac:dyDescent="0.2">
      <c r="A202" s="11">
        <v>196</v>
      </c>
      <c r="B202" s="40"/>
      <c r="C202" s="333" t="s">
        <v>411</v>
      </c>
      <c r="D202" s="333" t="s">
        <v>239</v>
      </c>
      <c r="E202" s="363" t="s">
        <v>388</v>
      </c>
      <c r="F202" s="321"/>
      <c r="G202" s="321"/>
    </row>
    <row r="203" spans="1:7" ht="12.75" customHeight="1" x14ac:dyDescent="0.2">
      <c r="A203" s="11">
        <v>197</v>
      </c>
      <c r="B203" s="40"/>
      <c r="C203" s="333" t="s">
        <v>282</v>
      </c>
      <c r="D203" s="333" t="s">
        <v>239</v>
      </c>
      <c r="E203" s="363" t="s">
        <v>388</v>
      </c>
      <c r="F203" s="321"/>
      <c r="G203" s="321"/>
    </row>
    <row r="204" spans="1:7" ht="12.75" customHeight="1" x14ac:dyDescent="0.2">
      <c r="A204" s="11">
        <v>198</v>
      </c>
      <c r="B204" s="40"/>
      <c r="C204" s="333" t="s">
        <v>412</v>
      </c>
      <c r="D204" s="333" t="s">
        <v>239</v>
      </c>
      <c r="E204" s="363" t="s">
        <v>413</v>
      </c>
      <c r="F204" s="321"/>
      <c r="G204" s="321"/>
    </row>
    <row r="205" spans="1:7" ht="12.75" customHeight="1" x14ac:dyDescent="0.2">
      <c r="A205" s="11">
        <v>199</v>
      </c>
      <c r="B205" s="40" t="s">
        <v>203</v>
      </c>
      <c r="C205" s="333" t="s">
        <v>414</v>
      </c>
      <c r="D205" s="333" t="s">
        <v>239</v>
      </c>
      <c r="E205" s="333" t="s">
        <v>339</v>
      </c>
      <c r="F205" s="321"/>
      <c r="G205" s="321"/>
    </row>
    <row r="206" spans="1:7" ht="12.75" customHeight="1" x14ac:dyDescent="0.2">
      <c r="A206" s="11">
        <v>200</v>
      </c>
      <c r="B206" s="40"/>
      <c r="C206" s="333" t="s">
        <v>415</v>
      </c>
      <c r="D206" s="333" t="s">
        <v>239</v>
      </c>
      <c r="E206" s="363" t="s">
        <v>388</v>
      </c>
      <c r="F206" s="321"/>
      <c r="G206" s="321"/>
    </row>
    <row r="207" spans="1:7" ht="12.75" customHeight="1" x14ac:dyDescent="0.2">
      <c r="A207" s="11">
        <v>201</v>
      </c>
      <c r="B207" s="40"/>
      <c r="C207" s="333" t="s">
        <v>416</v>
      </c>
      <c r="D207" s="333" t="s">
        <v>239</v>
      </c>
      <c r="E207" s="363" t="s">
        <v>388</v>
      </c>
      <c r="F207" s="321"/>
      <c r="G207" s="321"/>
    </row>
    <row r="208" spans="1:7" ht="12.75" customHeight="1" x14ac:dyDescent="0.2">
      <c r="A208" s="11">
        <v>202</v>
      </c>
      <c r="B208" s="40"/>
      <c r="C208" s="333" t="s">
        <v>417</v>
      </c>
      <c r="D208" s="333" t="s">
        <v>239</v>
      </c>
      <c r="E208" s="363" t="s">
        <v>388</v>
      </c>
      <c r="F208" s="321"/>
      <c r="G208" s="321"/>
    </row>
    <row r="209" spans="1:7" ht="12.75" customHeight="1" x14ac:dyDescent="0.2">
      <c r="A209" s="11">
        <v>203</v>
      </c>
      <c r="B209" s="40" t="s">
        <v>203</v>
      </c>
      <c r="C209" s="328" t="s">
        <v>418</v>
      </c>
      <c r="D209" s="328" t="s">
        <v>239</v>
      </c>
      <c r="E209" s="364" t="s">
        <v>339</v>
      </c>
      <c r="F209" s="329">
        <v>45901</v>
      </c>
      <c r="G209" s="35"/>
    </row>
    <row r="210" spans="1:7" ht="12.75" customHeight="1" x14ac:dyDescent="0.2">
      <c r="A210" s="11">
        <v>204</v>
      </c>
      <c r="B210" s="40" t="s">
        <v>203</v>
      </c>
      <c r="C210" s="333" t="s">
        <v>419</v>
      </c>
      <c r="D210" s="333" t="s">
        <v>312</v>
      </c>
      <c r="E210" s="333" t="s">
        <v>339</v>
      </c>
      <c r="F210" s="321"/>
      <c r="G210" s="321"/>
    </row>
    <row r="211" spans="1:7" ht="12.75" customHeight="1" x14ac:dyDescent="0.2">
      <c r="A211" s="324">
        <v>205</v>
      </c>
      <c r="B211" s="40"/>
      <c r="C211" s="362" t="s">
        <v>420</v>
      </c>
      <c r="D211" s="333" t="s">
        <v>312</v>
      </c>
      <c r="E211" s="333" t="s">
        <v>388</v>
      </c>
      <c r="F211" s="321"/>
      <c r="G211" s="321"/>
    </row>
    <row r="212" spans="1:7" ht="12.75" customHeight="1" x14ac:dyDescent="0.2">
      <c r="A212" s="11">
        <v>206</v>
      </c>
      <c r="B212" s="40"/>
      <c r="C212" s="333" t="s">
        <v>421</v>
      </c>
      <c r="D212" s="333" t="s">
        <v>312</v>
      </c>
      <c r="E212" s="328" t="s">
        <v>578</v>
      </c>
      <c r="F212" s="321"/>
      <c r="G212" s="321"/>
    </row>
    <row r="213" spans="1:7" ht="12.75" customHeight="1" x14ac:dyDescent="0.2">
      <c r="A213" s="11">
        <v>207</v>
      </c>
      <c r="B213" s="40"/>
      <c r="C213" s="333" t="s">
        <v>422</v>
      </c>
      <c r="D213" s="333" t="s">
        <v>312</v>
      </c>
      <c r="E213" s="333" t="s">
        <v>388</v>
      </c>
      <c r="F213" s="342"/>
      <c r="G213" s="342"/>
    </row>
    <row r="214" spans="1:7" ht="12.75" customHeight="1" x14ac:dyDescent="0.2">
      <c r="A214" s="11">
        <v>208</v>
      </c>
      <c r="B214" s="40"/>
      <c r="C214" s="333" t="s">
        <v>423</v>
      </c>
      <c r="D214" s="333" t="s">
        <v>312</v>
      </c>
      <c r="E214" s="333" t="s">
        <v>388</v>
      </c>
      <c r="F214" s="321"/>
      <c r="G214" s="321"/>
    </row>
    <row r="215" spans="1:7" ht="12.75" customHeight="1" thickBot="1" x14ac:dyDescent="0.25">
      <c r="A215" s="11">
        <v>209</v>
      </c>
      <c r="B215" s="40" t="s">
        <v>203</v>
      </c>
      <c r="C215" s="333" t="s">
        <v>423</v>
      </c>
      <c r="D215" s="333" t="s">
        <v>312</v>
      </c>
      <c r="E215" s="333" t="s">
        <v>339</v>
      </c>
      <c r="F215" s="321"/>
      <c r="G215" s="321"/>
    </row>
    <row r="216" spans="1:7" ht="12.75" customHeight="1" thickBot="1" x14ac:dyDescent="0.25">
      <c r="A216" s="11">
        <v>210</v>
      </c>
      <c r="B216" s="40"/>
      <c r="C216" s="333" t="s">
        <v>424</v>
      </c>
      <c r="D216" s="333" t="s">
        <v>312</v>
      </c>
      <c r="E216" s="333" t="s">
        <v>388</v>
      </c>
      <c r="F216" s="365"/>
      <c r="G216" s="366"/>
    </row>
    <row r="217" spans="1:7" ht="12.75" customHeight="1" x14ac:dyDescent="0.2">
      <c r="A217" s="11">
        <v>211</v>
      </c>
      <c r="B217" s="40" t="s">
        <v>203</v>
      </c>
      <c r="C217" s="333" t="s">
        <v>373</v>
      </c>
      <c r="D217" s="333" t="s">
        <v>312</v>
      </c>
      <c r="E217" s="333" t="s">
        <v>339</v>
      </c>
      <c r="F217" s="321"/>
      <c r="G217" s="321"/>
    </row>
    <row r="218" spans="1:7" ht="12.75" customHeight="1" x14ac:dyDescent="0.2">
      <c r="A218" s="11">
        <v>212</v>
      </c>
      <c r="B218" s="40"/>
      <c r="C218" s="333" t="s">
        <v>374</v>
      </c>
      <c r="D218" s="333" t="s">
        <v>312</v>
      </c>
      <c r="E218" s="333" t="s">
        <v>413</v>
      </c>
      <c r="F218" s="321"/>
      <c r="G218" s="321"/>
    </row>
    <row r="219" spans="1:7" ht="12.75" customHeight="1" x14ac:dyDescent="0.2">
      <c r="A219" s="11">
        <v>213</v>
      </c>
      <c r="B219" s="40"/>
      <c r="C219" s="333" t="s">
        <v>425</v>
      </c>
      <c r="D219" s="333" t="s">
        <v>312</v>
      </c>
      <c r="E219" s="333" t="s">
        <v>388</v>
      </c>
      <c r="F219" s="321"/>
      <c r="G219" s="321"/>
    </row>
    <row r="220" spans="1:7" ht="12.75" customHeight="1" x14ac:dyDescent="0.2">
      <c r="A220" s="11">
        <v>214</v>
      </c>
      <c r="B220" s="40" t="s">
        <v>203</v>
      </c>
      <c r="C220" s="333" t="s">
        <v>426</v>
      </c>
      <c r="D220" s="333" t="s">
        <v>312</v>
      </c>
      <c r="E220" s="333" t="s">
        <v>339</v>
      </c>
      <c r="F220" s="321"/>
      <c r="G220" s="321"/>
    </row>
    <row r="221" spans="1:7" ht="12.75" customHeight="1" x14ac:dyDescent="0.2">
      <c r="A221" s="11">
        <v>215</v>
      </c>
      <c r="B221" s="40"/>
      <c r="C221" s="333" t="s">
        <v>427</v>
      </c>
      <c r="D221" s="333" t="s">
        <v>267</v>
      </c>
      <c r="E221" s="363" t="s">
        <v>388</v>
      </c>
      <c r="F221" s="321"/>
      <c r="G221" s="321"/>
    </row>
    <row r="222" spans="1:7" ht="12.75" customHeight="1" x14ac:dyDescent="0.2">
      <c r="A222" s="11">
        <v>216</v>
      </c>
      <c r="B222" s="40" t="s">
        <v>203</v>
      </c>
      <c r="C222" s="333" t="s">
        <v>268</v>
      </c>
      <c r="D222" s="333" t="s">
        <v>267</v>
      </c>
      <c r="E222" s="328" t="s">
        <v>578</v>
      </c>
      <c r="F222" s="367">
        <v>45909</v>
      </c>
      <c r="G222" s="367">
        <v>46294</v>
      </c>
    </row>
    <row r="223" spans="1:7" ht="12.75" customHeight="1" x14ac:dyDescent="0.2">
      <c r="A223" s="324">
        <v>217</v>
      </c>
      <c r="B223" s="40"/>
      <c r="C223" s="333" t="s">
        <v>428</v>
      </c>
      <c r="D223" s="333" t="s">
        <v>267</v>
      </c>
      <c r="E223" s="363" t="s">
        <v>388</v>
      </c>
      <c r="F223" s="321"/>
      <c r="G223" s="321"/>
    </row>
    <row r="224" spans="1:7" ht="12.75" customHeight="1" x14ac:dyDescent="0.2">
      <c r="A224" s="11">
        <v>218</v>
      </c>
      <c r="B224" s="40"/>
      <c r="C224" s="333" t="s">
        <v>429</v>
      </c>
      <c r="D224" s="333" t="s">
        <v>267</v>
      </c>
      <c r="E224" s="363" t="s">
        <v>388</v>
      </c>
      <c r="F224" s="321"/>
      <c r="G224" s="321"/>
    </row>
    <row r="225" spans="1:7" ht="12.75" customHeight="1" x14ac:dyDescent="0.2">
      <c r="A225" s="11">
        <v>219</v>
      </c>
      <c r="B225" s="40"/>
      <c r="C225" s="333" t="s">
        <v>430</v>
      </c>
      <c r="D225" s="333" t="s">
        <v>267</v>
      </c>
      <c r="E225" s="333" t="s">
        <v>388</v>
      </c>
      <c r="F225" s="321"/>
      <c r="G225" s="321"/>
    </row>
    <row r="226" spans="1:7" ht="12.75" customHeight="1" x14ac:dyDescent="0.2">
      <c r="A226" s="11">
        <v>220</v>
      </c>
      <c r="B226" s="40"/>
      <c r="C226" s="333" t="s">
        <v>432</v>
      </c>
      <c r="D226" s="333" t="s">
        <v>431</v>
      </c>
      <c r="E226" s="328" t="s">
        <v>578</v>
      </c>
      <c r="F226" s="321"/>
      <c r="G226" s="321"/>
    </row>
    <row r="227" spans="1:7" ht="12.75" customHeight="1" x14ac:dyDescent="0.2">
      <c r="A227" s="11">
        <v>221</v>
      </c>
      <c r="B227" s="40"/>
      <c r="C227" s="333" t="s">
        <v>433</v>
      </c>
      <c r="D227" s="333" t="s">
        <v>236</v>
      </c>
      <c r="E227" s="333" t="s">
        <v>388</v>
      </c>
      <c r="F227" s="321"/>
      <c r="G227" s="321"/>
    </row>
    <row r="228" spans="1:7" ht="12.75" customHeight="1" x14ac:dyDescent="0.2">
      <c r="A228" s="11">
        <v>222</v>
      </c>
      <c r="B228" s="40"/>
      <c r="C228" s="333" t="s">
        <v>434</v>
      </c>
      <c r="D228" s="333" t="s">
        <v>236</v>
      </c>
      <c r="E228" s="333" t="s">
        <v>388</v>
      </c>
      <c r="F228" s="321"/>
      <c r="G228" s="321"/>
    </row>
    <row r="229" spans="1:7" ht="12.75" customHeight="1" x14ac:dyDescent="0.2">
      <c r="A229" s="11">
        <v>223</v>
      </c>
      <c r="B229" s="40"/>
      <c r="C229" s="333" t="s">
        <v>298</v>
      </c>
      <c r="D229" s="333" t="s">
        <v>236</v>
      </c>
      <c r="E229" s="328" t="s">
        <v>578</v>
      </c>
      <c r="F229" s="321"/>
      <c r="G229" s="321"/>
    </row>
    <row r="230" spans="1:7" ht="12.75" customHeight="1" x14ac:dyDescent="0.2">
      <c r="A230" s="11">
        <v>224</v>
      </c>
      <c r="B230" s="40"/>
      <c r="C230" s="333" t="s">
        <v>435</v>
      </c>
      <c r="D230" s="333" t="s">
        <v>137</v>
      </c>
      <c r="E230" s="328" t="s">
        <v>580</v>
      </c>
      <c r="F230" s="321"/>
      <c r="G230" s="321"/>
    </row>
    <row r="231" spans="1:7" ht="12.75" customHeight="1" x14ac:dyDescent="0.2">
      <c r="A231" s="11">
        <v>225</v>
      </c>
      <c r="B231" s="40"/>
      <c r="C231" s="333" t="s">
        <v>437</v>
      </c>
      <c r="D231" s="333" t="s">
        <v>436</v>
      </c>
      <c r="E231" s="328" t="s">
        <v>580</v>
      </c>
      <c r="F231" s="321"/>
      <c r="G231" s="321"/>
    </row>
    <row r="232" spans="1:7" ht="12.75" customHeight="1" x14ac:dyDescent="0.2">
      <c r="A232" s="11">
        <v>226</v>
      </c>
      <c r="B232" s="40"/>
      <c r="C232" s="333" t="s">
        <v>438</v>
      </c>
      <c r="D232" s="333" t="s">
        <v>436</v>
      </c>
      <c r="E232" s="328" t="s">
        <v>580</v>
      </c>
      <c r="F232" s="321"/>
      <c r="G232" s="321"/>
    </row>
    <row r="233" spans="1:7" ht="12.75" customHeight="1" x14ac:dyDescent="0.2">
      <c r="A233" s="11">
        <v>227</v>
      </c>
      <c r="B233" s="40"/>
      <c r="C233" s="333" t="s">
        <v>439</v>
      </c>
      <c r="D233" s="333" t="s">
        <v>134</v>
      </c>
      <c r="E233" s="333" t="s">
        <v>388</v>
      </c>
      <c r="F233" s="321"/>
      <c r="G233" s="321"/>
    </row>
    <row r="234" spans="1:7" ht="12.75" customHeight="1" x14ac:dyDescent="0.2">
      <c r="A234" s="11">
        <v>228</v>
      </c>
      <c r="B234" s="40"/>
      <c r="C234" s="333" t="s">
        <v>440</v>
      </c>
      <c r="D234" s="333" t="s">
        <v>345</v>
      </c>
      <c r="E234" s="333" t="s">
        <v>388</v>
      </c>
      <c r="F234" s="321"/>
      <c r="G234" s="321"/>
    </row>
    <row r="235" spans="1:7" ht="12.75" customHeight="1" x14ac:dyDescent="0.2">
      <c r="A235" s="324">
        <v>229</v>
      </c>
      <c r="B235" s="40"/>
      <c r="C235" s="333" t="s">
        <v>441</v>
      </c>
      <c r="D235" s="333" t="s">
        <v>180</v>
      </c>
      <c r="E235" s="333" t="s">
        <v>388</v>
      </c>
      <c r="F235" s="321"/>
      <c r="G235" s="321"/>
    </row>
    <row r="236" spans="1:7" ht="12.75" customHeight="1" x14ac:dyDescent="0.2">
      <c r="A236" s="11">
        <v>230</v>
      </c>
      <c r="B236" s="40" t="s">
        <v>206</v>
      </c>
      <c r="C236" s="333" t="s">
        <v>442</v>
      </c>
      <c r="D236" s="333" t="s">
        <v>334</v>
      </c>
      <c r="E236" s="333" t="s">
        <v>339</v>
      </c>
      <c r="F236" s="368"/>
      <c r="G236" s="321"/>
    </row>
    <row r="237" spans="1:7" ht="12.75" customHeight="1" x14ac:dyDescent="0.2">
      <c r="A237" s="11">
        <v>231</v>
      </c>
      <c r="B237" s="40"/>
      <c r="C237" s="333" t="s">
        <v>443</v>
      </c>
      <c r="D237" s="333" t="s">
        <v>334</v>
      </c>
      <c r="E237" s="333" t="s">
        <v>388</v>
      </c>
      <c r="F237" s="321"/>
      <c r="G237" s="321"/>
    </row>
    <row r="238" spans="1:7" ht="12.75" customHeight="1" x14ac:dyDescent="0.2">
      <c r="A238" s="11">
        <v>232</v>
      </c>
      <c r="B238" s="40"/>
      <c r="C238" s="333" t="s">
        <v>444</v>
      </c>
      <c r="D238" s="333" t="s">
        <v>334</v>
      </c>
      <c r="E238" s="333" t="s">
        <v>388</v>
      </c>
      <c r="F238" s="321"/>
      <c r="G238" s="321"/>
    </row>
    <row r="239" spans="1:7" ht="12.75" customHeight="1" x14ac:dyDescent="0.2">
      <c r="A239" s="11">
        <v>233</v>
      </c>
      <c r="B239" s="40"/>
      <c r="C239" s="333" t="s">
        <v>445</v>
      </c>
      <c r="D239" s="333" t="s">
        <v>334</v>
      </c>
      <c r="E239" s="333" t="s">
        <v>413</v>
      </c>
      <c r="F239" s="321"/>
      <c r="G239" s="321"/>
    </row>
    <row r="240" spans="1:7" ht="12.75" customHeight="1" x14ac:dyDescent="0.2">
      <c r="A240" s="11">
        <v>234</v>
      </c>
      <c r="B240" s="40"/>
      <c r="C240" s="333" t="s">
        <v>446</v>
      </c>
      <c r="D240" s="333" t="s">
        <v>225</v>
      </c>
      <c r="E240" s="333" t="s">
        <v>388</v>
      </c>
      <c r="F240" s="321"/>
      <c r="G240" s="321"/>
    </row>
    <row r="241" spans="1:7" ht="12.75" customHeight="1" x14ac:dyDescent="0.2">
      <c r="A241" s="11">
        <v>235</v>
      </c>
      <c r="B241" s="40" t="s">
        <v>206</v>
      </c>
      <c r="C241" s="333" t="s">
        <v>379</v>
      </c>
      <c r="D241" s="333" t="s">
        <v>225</v>
      </c>
      <c r="E241" s="333" t="s">
        <v>339</v>
      </c>
      <c r="F241" s="368"/>
      <c r="G241" s="321"/>
    </row>
    <row r="242" spans="1:7" ht="12.75" customHeight="1" x14ac:dyDescent="0.2">
      <c r="A242" s="11">
        <v>236</v>
      </c>
      <c r="B242" s="40"/>
      <c r="C242" s="333" t="s">
        <v>447</v>
      </c>
      <c r="D242" s="333" t="s">
        <v>225</v>
      </c>
      <c r="E242" s="333" t="s">
        <v>388</v>
      </c>
      <c r="F242" s="321"/>
      <c r="G242" s="321"/>
    </row>
    <row r="243" spans="1:7" ht="12.75" customHeight="1" x14ac:dyDescent="0.2">
      <c r="A243" s="11">
        <v>237</v>
      </c>
      <c r="B243" s="40"/>
      <c r="C243" s="328" t="s">
        <v>448</v>
      </c>
      <c r="D243" s="328" t="s">
        <v>139</v>
      </c>
      <c r="E243" s="328" t="s">
        <v>580</v>
      </c>
      <c r="F243" s="35"/>
      <c r="G243" s="35"/>
    </row>
    <row r="244" spans="1:7" ht="12.75" customHeight="1" x14ac:dyDescent="0.2">
      <c r="A244" s="11">
        <v>238</v>
      </c>
      <c r="B244" s="40"/>
      <c r="C244" s="328" t="s">
        <v>149</v>
      </c>
      <c r="D244" s="328" t="s">
        <v>139</v>
      </c>
      <c r="E244" s="328" t="s">
        <v>580</v>
      </c>
      <c r="F244" s="357">
        <v>45945</v>
      </c>
      <c r="G244" s="329">
        <v>46022</v>
      </c>
    </row>
    <row r="245" spans="1:7" ht="12.75" customHeight="1" x14ac:dyDescent="0.2">
      <c r="A245" s="324">
        <v>239</v>
      </c>
      <c r="B245" s="40"/>
      <c r="C245" s="333" t="s">
        <v>449</v>
      </c>
      <c r="D245" s="333" t="s">
        <v>139</v>
      </c>
      <c r="E245" s="328" t="s">
        <v>580</v>
      </c>
      <c r="F245" s="321"/>
      <c r="G245" s="321"/>
    </row>
    <row r="246" spans="1:7" ht="12.75" customHeight="1" x14ac:dyDescent="0.2">
      <c r="A246" s="11">
        <v>240</v>
      </c>
      <c r="B246" s="40" t="s">
        <v>202</v>
      </c>
      <c r="C246" s="333" t="s">
        <v>450</v>
      </c>
      <c r="D246" s="333" t="s">
        <v>132</v>
      </c>
      <c r="E246" s="333" t="s">
        <v>339</v>
      </c>
      <c r="F246" s="321"/>
      <c r="G246" s="321"/>
    </row>
    <row r="247" spans="1:7" ht="12.75" customHeight="1" x14ac:dyDescent="0.2">
      <c r="A247" s="11">
        <v>241</v>
      </c>
      <c r="B247" s="40"/>
      <c r="C247" s="333" t="s">
        <v>213</v>
      </c>
      <c r="D247" s="333" t="s">
        <v>132</v>
      </c>
      <c r="E247" s="333" t="s">
        <v>577</v>
      </c>
      <c r="F247" s="321"/>
      <c r="G247" s="321"/>
    </row>
    <row r="248" spans="1:7" ht="12.75" customHeight="1" x14ac:dyDescent="0.2">
      <c r="A248" s="11">
        <v>242</v>
      </c>
      <c r="B248" s="40"/>
      <c r="C248" s="333" t="s">
        <v>451</v>
      </c>
      <c r="D248" s="333" t="s">
        <v>249</v>
      </c>
      <c r="E248" s="328" t="s">
        <v>578</v>
      </c>
      <c r="F248" s="40"/>
      <c r="G248" s="40"/>
    </row>
    <row r="249" spans="1:7" ht="12.75" customHeight="1" x14ac:dyDescent="0.2">
      <c r="A249" s="11">
        <v>243</v>
      </c>
      <c r="B249" s="40"/>
      <c r="C249" s="333" t="s">
        <v>452</v>
      </c>
      <c r="D249" s="333" t="s">
        <v>142</v>
      </c>
      <c r="E249" s="333" t="s">
        <v>388</v>
      </c>
      <c r="F249" s="321"/>
      <c r="G249" s="321"/>
    </row>
    <row r="250" spans="1:7" ht="12.75" customHeight="1" x14ac:dyDescent="0.2">
      <c r="A250" s="11">
        <v>244</v>
      </c>
      <c r="B250" s="40" t="s">
        <v>202</v>
      </c>
      <c r="C250" s="333" t="s">
        <v>453</v>
      </c>
      <c r="D250" s="333" t="s">
        <v>142</v>
      </c>
      <c r="E250" s="333" t="s">
        <v>339</v>
      </c>
      <c r="F250" s="321"/>
      <c r="G250" s="321"/>
    </row>
    <row r="251" spans="1:7" ht="12.75" customHeight="1" x14ac:dyDescent="0.2">
      <c r="A251" s="11">
        <v>245</v>
      </c>
      <c r="B251" s="40"/>
      <c r="C251" s="333" t="s">
        <v>454</v>
      </c>
      <c r="D251" s="333" t="s">
        <v>142</v>
      </c>
      <c r="E251" s="333" t="s">
        <v>577</v>
      </c>
      <c r="F251" s="321"/>
      <c r="G251" s="321"/>
    </row>
    <row r="252" spans="1:7" ht="12.75" customHeight="1" x14ac:dyDescent="0.2">
      <c r="A252" s="11">
        <v>246</v>
      </c>
      <c r="B252" s="40"/>
      <c r="C252" s="333" t="s">
        <v>141</v>
      </c>
      <c r="D252" s="333" t="s">
        <v>142</v>
      </c>
      <c r="E252" s="328" t="s">
        <v>580</v>
      </c>
      <c r="F252" s="321"/>
      <c r="G252" s="321"/>
    </row>
    <row r="253" spans="1:7" ht="12.75" customHeight="1" x14ac:dyDescent="0.2">
      <c r="A253" s="11">
        <v>247</v>
      </c>
      <c r="B253" s="40"/>
      <c r="C253" s="333" t="s">
        <v>455</v>
      </c>
      <c r="D253" s="333" t="s">
        <v>243</v>
      </c>
      <c r="E253" s="328" t="s">
        <v>578</v>
      </c>
      <c r="F253" s="42">
        <v>45909</v>
      </c>
      <c r="G253" s="42">
        <v>46447</v>
      </c>
    </row>
    <row r="254" spans="1:7" ht="12.75" customHeight="1" x14ac:dyDescent="0.2">
      <c r="A254" s="11">
        <v>248</v>
      </c>
      <c r="B254" s="40"/>
      <c r="C254" s="333" t="s">
        <v>456</v>
      </c>
      <c r="D254" s="333" t="s">
        <v>278</v>
      </c>
      <c r="E254" s="328" t="s">
        <v>580</v>
      </c>
      <c r="F254" s="321"/>
      <c r="G254" s="321"/>
    </row>
    <row r="255" spans="1:7" ht="12.75" customHeight="1" x14ac:dyDescent="0.2">
      <c r="A255" s="11">
        <v>249</v>
      </c>
      <c r="B255" s="40" t="s">
        <v>204</v>
      </c>
      <c r="C255" s="328" t="s">
        <v>457</v>
      </c>
      <c r="D255" s="328" t="s">
        <v>278</v>
      </c>
      <c r="E255" s="328" t="s">
        <v>580</v>
      </c>
      <c r="F255" s="329">
        <v>45901</v>
      </c>
      <c r="G255" s="329">
        <v>46022</v>
      </c>
    </row>
    <row r="256" spans="1:7" ht="12.75" customHeight="1" x14ac:dyDescent="0.2">
      <c r="A256" s="11">
        <v>250</v>
      </c>
      <c r="B256" s="40" t="s">
        <v>204</v>
      </c>
      <c r="C256" s="333" t="s">
        <v>458</v>
      </c>
      <c r="D256" s="333" t="s">
        <v>278</v>
      </c>
      <c r="E256" s="328" t="s">
        <v>581</v>
      </c>
      <c r="F256" s="40"/>
      <c r="G256" s="40"/>
    </row>
    <row r="257" spans="1:7" ht="12.75" customHeight="1" x14ac:dyDescent="0.2">
      <c r="A257" s="324">
        <v>251</v>
      </c>
      <c r="B257" s="40"/>
      <c r="C257" s="333" t="s">
        <v>459</v>
      </c>
      <c r="D257" s="333" t="s">
        <v>285</v>
      </c>
      <c r="E257" s="328" t="s">
        <v>580</v>
      </c>
      <c r="F257" s="321"/>
      <c r="G257" s="321"/>
    </row>
    <row r="258" spans="1:7" ht="12.75" customHeight="1" x14ac:dyDescent="0.2">
      <c r="A258" s="11">
        <v>252</v>
      </c>
      <c r="B258" s="40" t="s">
        <v>206</v>
      </c>
      <c r="C258" s="333" t="s">
        <v>461</v>
      </c>
      <c r="D258" s="333" t="s">
        <v>460</v>
      </c>
      <c r="E258" s="333" t="s">
        <v>339</v>
      </c>
      <c r="F258" s="321"/>
      <c r="G258" s="321"/>
    </row>
    <row r="259" spans="1:7" ht="12.75" customHeight="1" x14ac:dyDescent="0.2">
      <c r="A259" s="11">
        <v>253</v>
      </c>
      <c r="B259" s="40"/>
      <c r="C259" s="333" t="s">
        <v>462</v>
      </c>
      <c r="D259" s="333" t="s">
        <v>460</v>
      </c>
      <c r="E259" s="333" t="s">
        <v>388</v>
      </c>
      <c r="F259" s="321"/>
      <c r="G259" s="321"/>
    </row>
    <row r="260" spans="1:7" ht="12.75" customHeight="1" x14ac:dyDescent="0.2">
      <c r="A260" s="11">
        <v>254</v>
      </c>
      <c r="B260" s="40"/>
      <c r="C260" s="333" t="s">
        <v>463</v>
      </c>
      <c r="D260" s="333" t="s">
        <v>460</v>
      </c>
      <c r="E260" s="333" t="s">
        <v>388</v>
      </c>
      <c r="F260" s="321"/>
      <c r="G260" s="321"/>
    </row>
    <row r="261" spans="1:7" ht="12.75" customHeight="1" x14ac:dyDescent="0.2">
      <c r="A261" s="11">
        <v>255</v>
      </c>
      <c r="B261" s="40" t="s">
        <v>206</v>
      </c>
      <c r="C261" s="333" t="s">
        <v>464</v>
      </c>
      <c r="D261" s="333" t="s">
        <v>460</v>
      </c>
      <c r="E261" s="333" t="s">
        <v>339</v>
      </c>
      <c r="F261" s="321"/>
      <c r="G261" s="321"/>
    </row>
    <row r="262" spans="1:7" ht="12.75" customHeight="1" x14ac:dyDescent="0.2">
      <c r="A262" s="11">
        <v>256</v>
      </c>
      <c r="B262" s="40"/>
      <c r="C262" s="333" t="s">
        <v>275</v>
      </c>
      <c r="D262" s="333" t="s">
        <v>241</v>
      </c>
      <c r="E262" s="333" t="s">
        <v>339</v>
      </c>
      <c r="F262" s="321"/>
      <c r="G262" s="321"/>
    </row>
    <row r="263" spans="1:7" ht="12.75" customHeight="1" x14ac:dyDescent="0.2">
      <c r="A263" s="11">
        <v>257</v>
      </c>
      <c r="B263" s="40" t="s">
        <v>206</v>
      </c>
      <c r="C263" s="333" t="s">
        <v>351</v>
      </c>
      <c r="D263" s="333" t="s">
        <v>325</v>
      </c>
      <c r="E263" s="333" t="s">
        <v>339</v>
      </c>
      <c r="F263" s="321"/>
      <c r="G263" s="321"/>
    </row>
    <row r="264" spans="1:7" ht="12.75" customHeight="1" x14ac:dyDescent="0.2">
      <c r="A264" s="11">
        <v>258</v>
      </c>
      <c r="B264" s="40" t="s">
        <v>206</v>
      </c>
      <c r="C264" s="333" t="s">
        <v>326</v>
      </c>
      <c r="D264" s="333" t="s">
        <v>325</v>
      </c>
      <c r="E264" s="363" t="s">
        <v>262</v>
      </c>
      <c r="F264" s="42">
        <v>45909</v>
      </c>
      <c r="G264" s="42">
        <v>46000</v>
      </c>
    </row>
    <row r="265" spans="1:7" ht="12.75" customHeight="1" x14ac:dyDescent="0.2">
      <c r="A265" s="11">
        <v>259</v>
      </c>
      <c r="B265" s="40"/>
      <c r="C265" s="333" t="s">
        <v>466</v>
      </c>
      <c r="D265" s="333" t="s">
        <v>465</v>
      </c>
      <c r="E265" s="363" t="s">
        <v>388</v>
      </c>
      <c r="F265" s="321"/>
      <c r="G265" s="321"/>
    </row>
    <row r="266" spans="1:7" ht="12.75" customHeight="1" x14ac:dyDescent="0.2">
      <c r="A266" s="11">
        <v>260</v>
      </c>
      <c r="B266" s="40"/>
      <c r="C266" s="333" t="s">
        <v>467</v>
      </c>
      <c r="D266" s="333" t="s">
        <v>465</v>
      </c>
      <c r="E266" s="363" t="s">
        <v>388</v>
      </c>
      <c r="F266" s="321"/>
      <c r="G266" s="321"/>
    </row>
    <row r="267" spans="1:7" ht="12.75" customHeight="1" x14ac:dyDescent="0.2">
      <c r="A267" s="11">
        <v>261</v>
      </c>
      <c r="B267" s="40" t="s">
        <v>204</v>
      </c>
      <c r="C267" s="333" t="s">
        <v>468</v>
      </c>
      <c r="D267" s="333" t="s">
        <v>328</v>
      </c>
      <c r="E267" s="333" t="s">
        <v>339</v>
      </c>
      <c r="F267" s="321"/>
      <c r="G267" s="321"/>
    </row>
    <row r="268" spans="1:7" ht="12.75" customHeight="1" x14ac:dyDescent="0.2">
      <c r="A268" s="11">
        <v>262</v>
      </c>
      <c r="B268" s="40" t="s">
        <v>204</v>
      </c>
      <c r="C268" s="333" t="s">
        <v>469</v>
      </c>
      <c r="D268" s="333" t="s">
        <v>328</v>
      </c>
      <c r="E268" s="328" t="s">
        <v>581</v>
      </c>
      <c r="F268" s="40"/>
      <c r="G268" s="40"/>
    </row>
    <row r="269" spans="1:7" ht="12.75" customHeight="1" x14ac:dyDescent="0.2">
      <c r="A269" s="324">
        <v>263</v>
      </c>
      <c r="B269" s="40"/>
      <c r="C269" s="333" t="s">
        <v>470</v>
      </c>
      <c r="D269" s="333" t="s">
        <v>328</v>
      </c>
      <c r="E269" s="328" t="s">
        <v>580</v>
      </c>
      <c r="F269" s="321"/>
      <c r="G269" s="321"/>
    </row>
    <row r="270" spans="1:7" ht="12.75" customHeight="1" x14ac:dyDescent="0.2">
      <c r="A270" s="11">
        <v>264</v>
      </c>
      <c r="B270" s="40"/>
      <c r="C270" s="333" t="s">
        <v>471</v>
      </c>
      <c r="D270" s="333" t="s">
        <v>328</v>
      </c>
      <c r="E270" s="333" t="s">
        <v>388</v>
      </c>
      <c r="F270" s="321"/>
      <c r="G270" s="321"/>
    </row>
    <row r="271" spans="1:7" ht="12.75" customHeight="1" x14ac:dyDescent="0.2">
      <c r="A271" s="11">
        <v>265</v>
      </c>
      <c r="B271" s="40" t="s">
        <v>204</v>
      </c>
      <c r="C271" s="333" t="s">
        <v>472</v>
      </c>
      <c r="D271" s="333" t="s">
        <v>328</v>
      </c>
      <c r="E271" s="333" t="s">
        <v>339</v>
      </c>
      <c r="F271" s="321"/>
      <c r="G271" s="321"/>
    </row>
    <row r="272" spans="1:7" ht="12.75" customHeight="1" x14ac:dyDescent="0.2">
      <c r="A272" s="11">
        <v>266</v>
      </c>
      <c r="B272" s="40"/>
      <c r="C272" s="333" t="s">
        <v>473</v>
      </c>
      <c r="D272" s="333" t="s">
        <v>192</v>
      </c>
      <c r="E272" s="328" t="s">
        <v>580</v>
      </c>
      <c r="F272" s="321"/>
      <c r="G272" s="321"/>
    </row>
    <row r="273" spans="1:7" ht="12.75" customHeight="1" x14ac:dyDescent="0.2">
      <c r="A273" s="11">
        <v>267</v>
      </c>
      <c r="B273" s="40" t="s">
        <v>204</v>
      </c>
      <c r="C273" s="333" t="s">
        <v>474</v>
      </c>
      <c r="D273" s="333" t="s">
        <v>192</v>
      </c>
      <c r="E273" s="333" t="s">
        <v>339</v>
      </c>
      <c r="F273" s="321"/>
      <c r="G273" s="321"/>
    </row>
    <row r="274" spans="1:7" ht="12.75" customHeight="1" x14ac:dyDescent="0.2">
      <c r="A274" s="11">
        <v>268</v>
      </c>
      <c r="B274" s="40" t="s">
        <v>204</v>
      </c>
      <c r="C274" s="333" t="s">
        <v>475</v>
      </c>
      <c r="D274" s="333" t="s">
        <v>192</v>
      </c>
      <c r="E274" s="333" t="s">
        <v>339</v>
      </c>
      <c r="F274" s="321"/>
      <c r="G274" s="321"/>
    </row>
    <row r="275" spans="1:7" ht="12.75" customHeight="1" x14ac:dyDescent="0.2">
      <c r="A275" s="11">
        <v>269</v>
      </c>
      <c r="B275" s="40" t="s">
        <v>204</v>
      </c>
      <c r="C275" s="333" t="s">
        <v>476</v>
      </c>
      <c r="D275" s="333" t="s">
        <v>192</v>
      </c>
      <c r="E275" s="333" t="s">
        <v>339</v>
      </c>
      <c r="F275" s="321"/>
      <c r="G275" s="321"/>
    </row>
    <row r="276" spans="1:7" ht="12.75" customHeight="1" x14ac:dyDescent="0.2">
      <c r="A276" s="11">
        <v>270</v>
      </c>
      <c r="B276" s="40"/>
      <c r="C276" s="333" t="s">
        <v>477</v>
      </c>
      <c r="D276" s="333" t="s">
        <v>189</v>
      </c>
      <c r="E276" s="328" t="s">
        <v>580</v>
      </c>
      <c r="F276" s="321"/>
      <c r="G276" s="321"/>
    </row>
    <row r="277" spans="1:7" ht="12.75" customHeight="1" x14ac:dyDescent="0.2">
      <c r="A277" s="11">
        <v>271</v>
      </c>
      <c r="B277" s="40" t="s">
        <v>203</v>
      </c>
      <c r="C277" s="333" t="s">
        <v>478</v>
      </c>
      <c r="D277" s="333" t="s">
        <v>189</v>
      </c>
      <c r="E277" s="333" t="s">
        <v>339</v>
      </c>
      <c r="F277" s="321"/>
      <c r="G277" s="321"/>
    </row>
    <row r="278" spans="1:7" ht="12.75" customHeight="1" x14ac:dyDescent="0.2">
      <c r="A278" s="11">
        <v>272</v>
      </c>
      <c r="B278" s="40"/>
      <c r="C278" s="333" t="s">
        <v>478</v>
      </c>
      <c r="D278" s="333" t="s">
        <v>189</v>
      </c>
      <c r="E278" s="328" t="s">
        <v>580</v>
      </c>
      <c r="F278" s="321"/>
      <c r="G278" s="321"/>
    </row>
    <row r="279" spans="1:7" ht="12.75" customHeight="1" x14ac:dyDescent="0.2">
      <c r="A279" s="324">
        <v>273</v>
      </c>
      <c r="B279" s="40"/>
      <c r="C279" s="333" t="s">
        <v>479</v>
      </c>
      <c r="D279" s="333" t="s">
        <v>189</v>
      </c>
      <c r="E279" s="333" t="s">
        <v>388</v>
      </c>
      <c r="F279" s="321"/>
      <c r="G279" s="321"/>
    </row>
    <row r="280" spans="1:7" ht="12.75" customHeight="1" x14ac:dyDescent="0.2">
      <c r="A280" s="11">
        <v>274</v>
      </c>
      <c r="B280" s="40"/>
      <c r="C280" s="333" t="s">
        <v>480</v>
      </c>
      <c r="D280" s="333" t="s">
        <v>189</v>
      </c>
      <c r="E280" s="333" t="s">
        <v>388</v>
      </c>
      <c r="F280" s="321"/>
      <c r="G280" s="321"/>
    </row>
    <row r="281" spans="1:7" ht="12.75" customHeight="1" x14ac:dyDescent="0.2">
      <c r="A281" s="11">
        <v>275</v>
      </c>
      <c r="B281" s="40"/>
      <c r="C281" s="333" t="s">
        <v>482</v>
      </c>
      <c r="D281" s="333" t="s">
        <v>481</v>
      </c>
      <c r="E281" s="333" t="s">
        <v>388</v>
      </c>
      <c r="F281" s="321"/>
      <c r="G281" s="321"/>
    </row>
    <row r="282" spans="1:7" ht="12.75" customHeight="1" x14ac:dyDescent="0.2">
      <c r="A282" s="11">
        <v>276</v>
      </c>
      <c r="B282" s="40"/>
      <c r="C282" s="333" t="s">
        <v>483</v>
      </c>
      <c r="D282" s="333" t="s">
        <v>481</v>
      </c>
      <c r="E282" s="333" t="s">
        <v>388</v>
      </c>
      <c r="F282" s="321"/>
      <c r="G282" s="321"/>
    </row>
    <row r="283" spans="1:7" ht="12.75" customHeight="1" x14ac:dyDescent="0.2">
      <c r="A283" s="11">
        <v>277</v>
      </c>
      <c r="B283" s="40"/>
      <c r="C283" s="333" t="s">
        <v>484</v>
      </c>
      <c r="D283" s="333" t="s">
        <v>481</v>
      </c>
      <c r="E283" s="333" t="s">
        <v>388</v>
      </c>
      <c r="F283" s="321"/>
      <c r="G283" s="321"/>
    </row>
    <row r="284" spans="1:7" ht="12.75" customHeight="1" x14ac:dyDescent="0.2">
      <c r="A284" s="11">
        <v>278</v>
      </c>
      <c r="B284" s="40"/>
      <c r="C284" s="333" t="s">
        <v>485</v>
      </c>
      <c r="D284" s="333" t="s">
        <v>481</v>
      </c>
      <c r="E284" s="333" t="s">
        <v>388</v>
      </c>
      <c r="F284" s="321"/>
      <c r="G284" s="321"/>
    </row>
    <row r="285" spans="1:7" ht="12.75" customHeight="1" x14ac:dyDescent="0.2">
      <c r="A285" s="11">
        <v>279</v>
      </c>
      <c r="B285" s="340"/>
      <c r="C285" s="360" t="s">
        <v>486</v>
      </c>
      <c r="D285" s="360" t="s">
        <v>481</v>
      </c>
      <c r="E285" s="360" t="s">
        <v>388</v>
      </c>
      <c r="F285" s="342"/>
      <c r="G285" s="342"/>
    </row>
    <row r="286" spans="1:7" ht="12.75" customHeight="1" x14ac:dyDescent="0.2">
      <c r="A286" s="11">
        <v>280</v>
      </c>
      <c r="B286" s="40" t="s">
        <v>203</v>
      </c>
      <c r="C286" s="333" t="s">
        <v>487</v>
      </c>
      <c r="D286" s="333" t="s">
        <v>481</v>
      </c>
      <c r="E286" s="333" t="s">
        <v>339</v>
      </c>
      <c r="F286" s="321"/>
      <c r="G286" s="321"/>
    </row>
    <row r="287" spans="1:7" ht="12.75" customHeight="1" x14ac:dyDescent="0.2">
      <c r="A287" s="11">
        <v>281</v>
      </c>
      <c r="B287" s="40"/>
      <c r="C287" s="333" t="s">
        <v>488</v>
      </c>
      <c r="D287" s="333" t="s">
        <v>383</v>
      </c>
      <c r="E287" s="333" t="s">
        <v>388</v>
      </c>
      <c r="F287" s="321"/>
      <c r="G287" s="342"/>
    </row>
    <row r="288" spans="1:7" ht="12.75" customHeight="1" x14ac:dyDescent="0.2">
      <c r="A288" s="11">
        <v>282</v>
      </c>
      <c r="B288" s="40"/>
      <c r="C288" s="333" t="s">
        <v>489</v>
      </c>
      <c r="D288" s="333" t="s">
        <v>383</v>
      </c>
      <c r="E288" s="333" t="s">
        <v>388</v>
      </c>
      <c r="F288" s="321"/>
      <c r="G288" s="342"/>
    </row>
    <row r="289" spans="1:7" ht="12.75" customHeight="1" x14ac:dyDescent="0.2">
      <c r="A289" s="11">
        <v>283</v>
      </c>
      <c r="B289" s="40"/>
      <c r="C289" s="333" t="s">
        <v>490</v>
      </c>
      <c r="D289" s="333" t="s">
        <v>383</v>
      </c>
      <c r="E289" s="333" t="s">
        <v>388</v>
      </c>
      <c r="F289" s="321"/>
      <c r="G289" s="342"/>
    </row>
    <row r="290" spans="1:7" ht="12.75" customHeight="1" x14ac:dyDescent="0.2">
      <c r="A290" s="11">
        <v>284</v>
      </c>
      <c r="B290" s="40"/>
      <c r="C290" s="333" t="s">
        <v>491</v>
      </c>
      <c r="D290" s="333" t="s">
        <v>383</v>
      </c>
      <c r="E290" s="333" t="s">
        <v>388</v>
      </c>
      <c r="F290" s="321"/>
      <c r="G290" s="321"/>
    </row>
    <row r="291" spans="1:7" ht="12.75" customHeight="1" x14ac:dyDescent="0.2">
      <c r="A291" s="324">
        <v>285</v>
      </c>
      <c r="B291" s="40" t="s">
        <v>203</v>
      </c>
      <c r="C291" s="333" t="s">
        <v>492</v>
      </c>
      <c r="D291" s="333" t="s">
        <v>255</v>
      </c>
      <c r="E291" s="333" t="s">
        <v>339</v>
      </c>
      <c r="F291" s="321"/>
      <c r="G291" s="321"/>
    </row>
    <row r="292" spans="1:7" ht="12.75" customHeight="1" x14ac:dyDescent="0.2">
      <c r="A292" s="11">
        <v>286</v>
      </c>
      <c r="B292" s="40" t="s">
        <v>203</v>
      </c>
      <c r="C292" s="333" t="s">
        <v>493</v>
      </c>
      <c r="D292" s="333" t="s">
        <v>255</v>
      </c>
      <c r="E292" s="333" t="s">
        <v>339</v>
      </c>
      <c r="F292" s="321"/>
      <c r="G292" s="321"/>
    </row>
    <row r="293" spans="1:7" ht="12.75" customHeight="1" x14ac:dyDescent="0.2">
      <c r="A293" s="11">
        <v>287</v>
      </c>
      <c r="B293" s="40" t="s">
        <v>203</v>
      </c>
      <c r="C293" s="333" t="s">
        <v>494</v>
      </c>
      <c r="D293" s="333" t="s">
        <v>255</v>
      </c>
      <c r="E293" s="333" t="s">
        <v>339</v>
      </c>
      <c r="F293" s="321"/>
      <c r="G293" s="321"/>
    </row>
    <row r="294" spans="1:7" ht="12.75" customHeight="1" x14ac:dyDescent="0.2">
      <c r="A294" s="11">
        <v>288</v>
      </c>
      <c r="B294" s="40"/>
      <c r="C294" s="333" t="s">
        <v>495</v>
      </c>
      <c r="D294" s="333" t="s">
        <v>255</v>
      </c>
      <c r="E294" s="333" t="s">
        <v>388</v>
      </c>
      <c r="F294" s="321"/>
      <c r="G294" s="321"/>
    </row>
    <row r="295" spans="1:7" ht="12.75" customHeight="1" x14ac:dyDescent="0.2">
      <c r="A295" s="11">
        <v>289</v>
      </c>
      <c r="B295" s="40"/>
      <c r="C295" s="333" t="s">
        <v>496</v>
      </c>
      <c r="D295" s="333" t="s">
        <v>255</v>
      </c>
      <c r="E295" s="333" t="s">
        <v>388</v>
      </c>
      <c r="F295" s="321"/>
      <c r="G295" s="321"/>
    </row>
    <row r="296" spans="1:7" ht="12.75" customHeight="1" x14ac:dyDescent="0.2">
      <c r="A296" s="11">
        <v>290</v>
      </c>
      <c r="B296" s="40"/>
      <c r="C296" s="333" t="s">
        <v>497</v>
      </c>
      <c r="D296" s="333" t="s">
        <v>185</v>
      </c>
      <c r="E296" s="328" t="s">
        <v>580</v>
      </c>
      <c r="F296" s="321"/>
      <c r="G296" s="321"/>
    </row>
    <row r="297" spans="1:7" ht="12.75" customHeight="1" x14ac:dyDescent="0.2">
      <c r="A297" s="11">
        <v>291</v>
      </c>
      <c r="B297" s="40"/>
      <c r="C297" s="333" t="s">
        <v>498</v>
      </c>
      <c r="D297" s="333" t="s">
        <v>310</v>
      </c>
      <c r="E297" s="333" t="s">
        <v>388</v>
      </c>
      <c r="F297" s="321"/>
      <c r="G297" s="321"/>
    </row>
    <row r="298" spans="1:7" ht="12.75" customHeight="1" x14ac:dyDescent="0.2">
      <c r="A298" s="11">
        <v>292</v>
      </c>
      <c r="B298" s="40" t="s">
        <v>202</v>
      </c>
      <c r="C298" s="333" t="s">
        <v>500</v>
      </c>
      <c r="D298" s="333" t="s">
        <v>499</v>
      </c>
      <c r="E298" s="333" t="s">
        <v>388</v>
      </c>
      <c r="F298" s="321"/>
      <c r="G298" s="321"/>
    </row>
    <row r="299" spans="1:7" ht="12.75" customHeight="1" x14ac:dyDescent="0.2">
      <c r="A299" s="11">
        <v>293</v>
      </c>
      <c r="B299" s="40" t="s">
        <v>202</v>
      </c>
      <c r="C299" s="333" t="s">
        <v>501</v>
      </c>
      <c r="D299" s="333" t="s">
        <v>128</v>
      </c>
      <c r="E299" s="328" t="s">
        <v>580</v>
      </c>
      <c r="F299" s="321"/>
      <c r="G299" s="321"/>
    </row>
    <row r="300" spans="1:7" ht="12.75" customHeight="1" x14ac:dyDescent="0.2">
      <c r="A300" s="11">
        <v>294</v>
      </c>
      <c r="B300" s="40" t="s">
        <v>205</v>
      </c>
      <c r="C300" s="321" t="s">
        <v>502</v>
      </c>
      <c r="D300" s="321" t="s">
        <v>83</v>
      </c>
      <c r="E300" s="328" t="s">
        <v>580</v>
      </c>
      <c r="F300" s="321"/>
      <c r="G300" s="321"/>
    </row>
    <row r="301" spans="1:7" ht="12.75" customHeight="1" x14ac:dyDescent="0.2">
      <c r="A301" s="11">
        <v>295</v>
      </c>
      <c r="B301" s="40" t="s">
        <v>205</v>
      </c>
      <c r="C301" s="321" t="s">
        <v>503</v>
      </c>
      <c r="D301" s="321" t="s">
        <v>196</v>
      </c>
      <c r="E301" s="328" t="s">
        <v>580</v>
      </c>
      <c r="F301" s="321"/>
      <c r="G301" s="321"/>
    </row>
    <row r="302" spans="1:7" ht="12.75" customHeight="1" x14ac:dyDescent="0.2">
      <c r="A302" s="11">
        <v>296</v>
      </c>
      <c r="B302" s="40" t="s">
        <v>205</v>
      </c>
      <c r="C302" s="321" t="s">
        <v>505</v>
      </c>
      <c r="D302" s="321" t="s">
        <v>504</v>
      </c>
      <c r="E302" s="328" t="s">
        <v>580</v>
      </c>
      <c r="F302" s="321"/>
      <c r="G302" s="321"/>
    </row>
    <row r="303" spans="1:7" ht="12.75" customHeight="1" x14ac:dyDescent="0.2">
      <c r="A303" s="324">
        <v>297</v>
      </c>
      <c r="B303" s="40" t="s">
        <v>205</v>
      </c>
      <c r="C303" s="321" t="s">
        <v>506</v>
      </c>
      <c r="D303" s="321" t="s">
        <v>504</v>
      </c>
      <c r="E303" s="328" t="s">
        <v>580</v>
      </c>
      <c r="F303" s="321"/>
      <c r="G303" s="321"/>
    </row>
    <row r="304" spans="1:7" ht="12.75" customHeight="1" x14ac:dyDescent="0.2">
      <c r="A304" s="11">
        <v>298</v>
      </c>
      <c r="B304" s="40" t="s">
        <v>205</v>
      </c>
      <c r="C304" s="321" t="s">
        <v>508</v>
      </c>
      <c r="D304" s="369" t="s">
        <v>507</v>
      </c>
      <c r="E304" s="328" t="s">
        <v>580</v>
      </c>
      <c r="F304" s="321"/>
      <c r="G304" s="321"/>
    </row>
    <row r="305" spans="1:7" ht="12.75" customHeight="1" x14ac:dyDescent="0.2">
      <c r="A305" s="11">
        <v>299</v>
      </c>
      <c r="B305" s="40" t="s">
        <v>205</v>
      </c>
      <c r="C305" s="321" t="s">
        <v>509</v>
      </c>
      <c r="D305" s="370" t="s">
        <v>194</v>
      </c>
      <c r="E305" s="328" t="s">
        <v>580</v>
      </c>
      <c r="F305" s="321"/>
      <c r="G305" s="321"/>
    </row>
    <row r="306" spans="1:7" ht="12.75" customHeight="1" x14ac:dyDescent="0.2">
      <c r="A306" s="11">
        <v>300</v>
      </c>
      <c r="B306" s="40" t="s">
        <v>205</v>
      </c>
      <c r="C306" s="321" t="s">
        <v>511</v>
      </c>
      <c r="D306" s="369" t="s">
        <v>510</v>
      </c>
      <c r="E306" s="328" t="s">
        <v>580</v>
      </c>
      <c r="F306" s="321"/>
      <c r="G306" s="321"/>
    </row>
    <row r="307" spans="1:7" ht="12.75" customHeight="1" x14ac:dyDescent="0.2">
      <c r="A307" s="11">
        <v>301</v>
      </c>
      <c r="B307" s="40" t="s">
        <v>205</v>
      </c>
      <c r="C307" s="321" t="s">
        <v>513</v>
      </c>
      <c r="D307" s="369" t="s">
        <v>512</v>
      </c>
      <c r="E307" s="328" t="s">
        <v>580</v>
      </c>
      <c r="F307" s="321"/>
      <c r="G307" s="321"/>
    </row>
    <row r="308" spans="1:7" ht="12.75" customHeight="1" x14ac:dyDescent="0.2">
      <c r="A308" s="11">
        <v>302</v>
      </c>
      <c r="B308" s="40" t="s">
        <v>205</v>
      </c>
      <c r="C308" s="321" t="s">
        <v>515</v>
      </c>
      <c r="D308" s="321" t="s">
        <v>514</v>
      </c>
      <c r="E308" s="328" t="s">
        <v>578</v>
      </c>
      <c r="F308" s="42">
        <v>45537</v>
      </c>
      <c r="G308" s="42">
        <v>46568</v>
      </c>
    </row>
    <row r="309" spans="1:7" ht="12.75" customHeight="1" x14ac:dyDescent="0.2">
      <c r="A309" s="11">
        <v>303</v>
      </c>
      <c r="B309" s="40" t="s">
        <v>205</v>
      </c>
      <c r="C309" s="342" t="s">
        <v>517</v>
      </c>
      <c r="D309" s="321" t="s">
        <v>516</v>
      </c>
      <c r="E309" s="328" t="s">
        <v>578</v>
      </c>
      <c r="F309" s="40"/>
      <c r="G309" s="40"/>
    </row>
    <row r="310" spans="1:7" ht="12.75" customHeight="1" x14ac:dyDescent="0.2">
      <c r="A310" s="11">
        <v>304</v>
      </c>
      <c r="B310" s="40" t="s">
        <v>205</v>
      </c>
      <c r="C310" s="321" t="s">
        <v>519</v>
      </c>
      <c r="D310" s="321" t="s">
        <v>518</v>
      </c>
      <c r="E310" s="328" t="s">
        <v>578</v>
      </c>
      <c r="F310" s="40"/>
      <c r="G310" s="40"/>
    </row>
    <row r="311" spans="1:7" ht="12.75" customHeight="1" x14ac:dyDescent="0.2">
      <c r="A311" s="11">
        <v>305</v>
      </c>
      <c r="B311" s="40" t="s">
        <v>205</v>
      </c>
      <c r="C311" s="321" t="s">
        <v>521</v>
      </c>
      <c r="D311" s="321" t="s">
        <v>520</v>
      </c>
      <c r="E311" s="328" t="s">
        <v>578</v>
      </c>
      <c r="F311" s="40"/>
      <c r="G311" s="40"/>
    </row>
    <row r="312" spans="1:7" ht="12.75" customHeight="1" x14ac:dyDescent="0.2">
      <c r="A312" s="11">
        <v>306</v>
      </c>
      <c r="B312" s="40" t="s">
        <v>205</v>
      </c>
      <c r="C312" s="321" t="s">
        <v>523</v>
      </c>
      <c r="D312" s="321" t="s">
        <v>522</v>
      </c>
      <c r="E312" s="328" t="s">
        <v>578</v>
      </c>
      <c r="F312" s="40"/>
      <c r="G312" s="40"/>
    </row>
    <row r="313" spans="1:7" ht="12.75" customHeight="1" x14ac:dyDescent="0.2">
      <c r="A313" s="324">
        <v>307</v>
      </c>
      <c r="B313" s="40" t="s">
        <v>205</v>
      </c>
      <c r="C313" s="321" t="s">
        <v>432</v>
      </c>
      <c r="D313" s="321" t="s">
        <v>522</v>
      </c>
      <c r="E313" s="328" t="s">
        <v>578</v>
      </c>
      <c r="F313" s="40"/>
      <c r="G313" s="40"/>
    </row>
    <row r="314" spans="1:7" ht="12.75" customHeight="1" x14ac:dyDescent="0.2">
      <c r="A314" s="11">
        <v>308</v>
      </c>
      <c r="B314" s="40" t="s">
        <v>205</v>
      </c>
      <c r="C314" s="321" t="s">
        <v>524</v>
      </c>
      <c r="D314" s="371" t="s">
        <v>504</v>
      </c>
      <c r="E314" s="333" t="s">
        <v>339</v>
      </c>
      <c r="F314" s="321"/>
      <c r="G314" s="321"/>
    </row>
    <row r="315" spans="1:7" ht="12.75" customHeight="1" x14ac:dyDescent="0.2">
      <c r="A315" s="11">
        <v>309</v>
      </c>
      <c r="B315" s="40" t="s">
        <v>205</v>
      </c>
      <c r="C315" s="338" t="s">
        <v>364</v>
      </c>
      <c r="D315" s="371" t="s">
        <v>525</v>
      </c>
      <c r="E315" s="333" t="s">
        <v>339</v>
      </c>
      <c r="F315" s="321"/>
      <c r="G315" s="321"/>
    </row>
    <row r="316" spans="1:7" ht="12.75" customHeight="1" x14ac:dyDescent="0.2">
      <c r="A316" s="11">
        <v>310</v>
      </c>
      <c r="B316" s="40" t="s">
        <v>205</v>
      </c>
      <c r="C316" s="321" t="s">
        <v>526</v>
      </c>
      <c r="D316" s="371" t="s">
        <v>363</v>
      </c>
      <c r="E316" s="333" t="s">
        <v>339</v>
      </c>
      <c r="F316" s="321"/>
      <c r="G316" s="321"/>
    </row>
    <row r="317" spans="1:7" ht="12.75" customHeight="1" x14ac:dyDescent="0.2">
      <c r="A317" s="11">
        <v>311</v>
      </c>
      <c r="B317" s="40" t="s">
        <v>205</v>
      </c>
      <c r="C317" s="321" t="s">
        <v>527</v>
      </c>
      <c r="D317" s="371" t="s">
        <v>231</v>
      </c>
      <c r="E317" s="333" t="s">
        <v>339</v>
      </c>
      <c r="F317" s="321"/>
      <c r="G317" s="321"/>
    </row>
    <row r="318" spans="1:7" ht="12.75" customHeight="1" x14ac:dyDescent="0.2">
      <c r="A318" s="11">
        <v>312</v>
      </c>
      <c r="B318" s="40" t="s">
        <v>205</v>
      </c>
      <c r="C318" s="338" t="s">
        <v>366</v>
      </c>
      <c r="D318" s="371" t="s">
        <v>335</v>
      </c>
      <c r="E318" s="333" t="s">
        <v>339</v>
      </c>
      <c r="F318" s="321"/>
      <c r="G318" s="321"/>
    </row>
    <row r="319" spans="1:7" ht="12.75" customHeight="1" x14ac:dyDescent="0.2">
      <c r="A319" s="11">
        <v>313</v>
      </c>
      <c r="B319" s="40" t="s">
        <v>205</v>
      </c>
      <c r="C319" s="338" t="s">
        <v>529</v>
      </c>
      <c r="D319" s="371" t="s">
        <v>528</v>
      </c>
      <c r="E319" s="333" t="s">
        <v>339</v>
      </c>
      <c r="F319" s="321"/>
      <c r="G319" s="321"/>
    </row>
    <row r="320" spans="1:7" ht="12.75" customHeight="1" x14ac:dyDescent="0.2">
      <c r="A320" s="11">
        <v>314</v>
      </c>
      <c r="B320" s="40" t="s">
        <v>205</v>
      </c>
      <c r="C320" s="338" t="s">
        <v>530</v>
      </c>
      <c r="D320" s="372" t="s">
        <v>380</v>
      </c>
      <c r="E320" s="333" t="s">
        <v>339</v>
      </c>
      <c r="F320" s="321"/>
      <c r="G320" s="321"/>
    </row>
    <row r="321" spans="1:7" ht="12.75" customHeight="1" x14ac:dyDescent="0.2">
      <c r="A321" s="11">
        <v>315</v>
      </c>
      <c r="B321" s="40" t="s">
        <v>205</v>
      </c>
      <c r="C321" s="338" t="s">
        <v>531</v>
      </c>
      <c r="D321" s="372" t="s">
        <v>510</v>
      </c>
      <c r="E321" s="333" t="s">
        <v>339</v>
      </c>
      <c r="F321" s="321"/>
      <c r="G321" s="321"/>
    </row>
    <row r="322" spans="1:7" ht="12.75" customHeight="1" x14ac:dyDescent="0.2">
      <c r="A322" s="11">
        <v>316</v>
      </c>
      <c r="B322" s="40" t="s">
        <v>205</v>
      </c>
      <c r="C322" s="338" t="s">
        <v>532</v>
      </c>
      <c r="D322" s="372" t="s">
        <v>510</v>
      </c>
      <c r="E322" s="333" t="s">
        <v>339</v>
      </c>
      <c r="F322" s="321"/>
      <c r="G322" s="321"/>
    </row>
    <row r="323" spans="1:7" ht="12.75" customHeight="1" x14ac:dyDescent="0.2">
      <c r="A323" s="11">
        <v>317</v>
      </c>
      <c r="B323" s="40" t="s">
        <v>205</v>
      </c>
      <c r="C323" s="373" t="s">
        <v>533</v>
      </c>
      <c r="D323" s="372" t="s">
        <v>357</v>
      </c>
      <c r="E323" s="333" t="s">
        <v>339</v>
      </c>
      <c r="F323" s="321"/>
      <c r="G323" s="321"/>
    </row>
    <row r="324" spans="1:7" ht="12.75" customHeight="1" x14ac:dyDescent="0.2">
      <c r="A324" s="11">
        <v>318</v>
      </c>
      <c r="B324" s="40" t="s">
        <v>205</v>
      </c>
      <c r="C324" s="373" t="s">
        <v>358</v>
      </c>
      <c r="D324" s="372" t="s">
        <v>357</v>
      </c>
      <c r="E324" s="333" t="s">
        <v>339</v>
      </c>
      <c r="F324" s="321"/>
      <c r="G324" s="321"/>
    </row>
    <row r="325" spans="1:7" ht="12.75" customHeight="1" x14ac:dyDescent="0.2">
      <c r="A325" s="324">
        <v>319</v>
      </c>
      <c r="B325" s="40" t="s">
        <v>205</v>
      </c>
      <c r="C325" s="373" t="s">
        <v>534</v>
      </c>
      <c r="D325" s="372" t="s">
        <v>357</v>
      </c>
      <c r="E325" s="333" t="s">
        <v>339</v>
      </c>
      <c r="F325" s="321"/>
      <c r="G325" s="321"/>
    </row>
    <row r="326" spans="1:7" ht="12.75" customHeight="1" x14ac:dyDescent="0.2">
      <c r="A326" s="11">
        <v>320</v>
      </c>
      <c r="B326" s="40" t="s">
        <v>205</v>
      </c>
      <c r="C326" s="338" t="s">
        <v>535</v>
      </c>
      <c r="D326" s="372" t="s">
        <v>357</v>
      </c>
      <c r="E326" s="333" t="s">
        <v>339</v>
      </c>
      <c r="F326" s="321"/>
      <c r="G326" s="321"/>
    </row>
    <row r="327" spans="1:7" ht="12.75" customHeight="1" x14ac:dyDescent="0.2">
      <c r="A327" s="11">
        <v>321</v>
      </c>
      <c r="B327" s="40" t="s">
        <v>205</v>
      </c>
      <c r="C327" s="338" t="s">
        <v>378</v>
      </c>
      <c r="D327" s="372" t="s">
        <v>357</v>
      </c>
      <c r="E327" s="333" t="s">
        <v>339</v>
      </c>
      <c r="F327" s="321"/>
      <c r="G327" s="321"/>
    </row>
    <row r="328" spans="1:7" ht="12.75" customHeight="1" x14ac:dyDescent="0.2">
      <c r="A328" s="11">
        <v>322</v>
      </c>
      <c r="B328" s="40" t="s">
        <v>205</v>
      </c>
      <c r="C328" s="338" t="s">
        <v>537</v>
      </c>
      <c r="D328" s="369" t="s">
        <v>536</v>
      </c>
      <c r="E328" s="333" t="s">
        <v>339</v>
      </c>
      <c r="F328" s="321"/>
      <c r="G328" s="321"/>
    </row>
    <row r="329" spans="1:7" ht="12.75" customHeight="1" x14ac:dyDescent="0.2">
      <c r="A329" s="11">
        <v>323</v>
      </c>
      <c r="B329" s="40" t="s">
        <v>205</v>
      </c>
      <c r="C329" s="321" t="s">
        <v>538</v>
      </c>
      <c r="D329" s="369" t="s">
        <v>348</v>
      </c>
      <c r="E329" s="333" t="s">
        <v>339</v>
      </c>
      <c r="F329" s="321"/>
      <c r="G329" s="321"/>
    </row>
    <row r="330" spans="1:7" ht="12.75" customHeight="1" x14ac:dyDescent="0.2">
      <c r="A330" s="11">
        <v>324</v>
      </c>
      <c r="B330" s="40" t="s">
        <v>205</v>
      </c>
      <c r="C330" s="321" t="s">
        <v>350</v>
      </c>
      <c r="D330" s="372" t="s">
        <v>348</v>
      </c>
      <c r="E330" s="333" t="s">
        <v>339</v>
      </c>
      <c r="F330" s="321"/>
      <c r="G330" s="321"/>
    </row>
    <row r="331" spans="1:7" ht="12.75" customHeight="1" x14ac:dyDescent="0.2">
      <c r="A331" s="11">
        <v>325</v>
      </c>
      <c r="B331" s="40" t="s">
        <v>205</v>
      </c>
      <c r="C331" s="338" t="s">
        <v>539</v>
      </c>
      <c r="D331" s="372" t="s">
        <v>348</v>
      </c>
      <c r="E331" s="333" t="s">
        <v>339</v>
      </c>
      <c r="F331" s="321"/>
      <c r="G331" s="321"/>
    </row>
    <row r="332" spans="1:7" ht="12.75" customHeight="1" x14ac:dyDescent="0.2">
      <c r="A332" s="11">
        <v>326</v>
      </c>
      <c r="B332" s="40" t="s">
        <v>205</v>
      </c>
      <c r="C332" s="338" t="s">
        <v>540</v>
      </c>
      <c r="D332" s="372" t="s">
        <v>348</v>
      </c>
      <c r="E332" s="333" t="s">
        <v>339</v>
      </c>
      <c r="F332" s="321"/>
      <c r="G332" s="321"/>
    </row>
    <row r="333" spans="1:7" ht="12.75" customHeight="1" x14ac:dyDescent="0.2">
      <c r="A333" s="11">
        <v>327</v>
      </c>
      <c r="B333" s="40" t="s">
        <v>205</v>
      </c>
      <c r="C333" s="321" t="s">
        <v>541</v>
      </c>
      <c r="D333" s="369" t="s">
        <v>196</v>
      </c>
      <c r="E333" s="333" t="s">
        <v>388</v>
      </c>
      <c r="F333" s="321"/>
      <c r="G333" s="321"/>
    </row>
    <row r="334" spans="1:7" ht="12.75" customHeight="1" x14ac:dyDescent="0.2">
      <c r="A334" s="11">
        <v>328</v>
      </c>
      <c r="B334" s="40" t="s">
        <v>205</v>
      </c>
      <c r="C334" s="321" t="s">
        <v>542</v>
      </c>
      <c r="D334" s="321" t="s">
        <v>514</v>
      </c>
      <c r="E334" s="363" t="s">
        <v>388</v>
      </c>
      <c r="F334" s="321"/>
      <c r="G334" s="321"/>
    </row>
    <row r="335" spans="1:7" ht="12.75" customHeight="1" x14ac:dyDescent="0.2">
      <c r="A335" s="11">
        <v>329</v>
      </c>
      <c r="B335" s="40" t="s">
        <v>202</v>
      </c>
      <c r="C335" s="35" t="s">
        <v>543</v>
      </c>
      <c r="D335" s="35" t="s">
        <v>84</v>
      </c>
      <c r="E335" s="328" t="s">
        <v>580</v>
      </c>
      <c r="F335" s="35"/>
      <c r="G335" s="192"/>
    </row>
    <row r="336" spans="1:7" ht="12.75" customHeight="1" x14ac:dyDescent="0.2">
      <c r="A336" s="11">
        <v>330</v>
      </c>
      <c r="B336" s="40" t="s">
        <v>202</v>
      </c>
      <c r="C336" s="35" t="s">
        <v>104</v>
      </c>
      <c r="D336" s="35" t="s">
        <v>131</v>
      </c>
      <c r="E336" s="328" t="s">
        <v>580</v>
      </c>
      <c r="F336" s="35"/>
      <c r="G336" s="192"/>
    </row>
    <row r="337" spans="1:8" ht="12.75" customHeight="1" x14ac:dyDescent="0.2">
      <c r="A337" s="324">
        <v>331</v>
      </c>
      <c r="B337" s="40" t="s">
        <v>203</v>
      </c>
      <c r="C337" s="328" t="s">
        <v>544</v>
      </c>
      <c r="D337" s="328" t="s">
        <v>312</v>
      </c>
      <c r="E337" s="328" t="s">
        <v>339</v>
      </c>
      <c r="F337" s="329">
        <v>45901</v>
      </c>
      <c r="G337" s="355">
        <v>46203</v>
      </c>
    </row>
    <row r="338" spans="1:8" ht="12.75" customHeight="1" x14ac:dyDescent="0.2">
      <c r="A338" s="11">
        <v>332</v>
      </c>
      <c r="B338" s="40" t="s">
        <v>205</v>
      </c>
      <c r="C338" s="335" t="s">
        <v>545</v>
      </c>
      <c r="D338" s="389" t="s">
        <v>335</v>
      </c>
      <c r="E338" s="328" t="s">
        <v>354</v>
      </c>
      <c r="F338" s="329">
        <v>45901</v>
      </c>
      <c r="G338" s="355">
        <v>46568</v>
      </c>
    </row>
    <row r="339" spans="1:8" ht="12.75" customHeight="1" x14ac:dyDescent="0.2">
      <c r="A339" s="11">
        <v>333</v>
      </c>
      <c r="B339" s="40" t="s">
        <v>206</v>
      </c>
      <c r="C339" s="35" t="s">
        <v>547</v>
      </c>
      <c r="D339" s="35" t="s">
        <v>546</v>
      </c>
      <c r="E339" s="328" t="s">
        <v>339</v>
      </c>
      <c r="F339" s="329">
        <v>45901</v>
      </c>
      <c r="G339" s="355">
        <v>46203</v>
      </c>
    </row>
    <row r="340" spans="1:8" ht="12.75" customHeight="1" x14ac:dyDescent="0.2">
      <c r="A340" s="11">
        <v>334</v>
      </c>
      <c r="B340" s="40" t="s">
        <v>202</v>
      </c>
      <c r="C340" s="328" t="s">
        <v>548</v>
      </c>
      <c r="D340" s="328" t="s">
        <v>215</v>
      </c>
      <c r="E340" s="328" t="s">
        <v>339</v>
      </c>
      <c r="F340" s="329">
        <v>45901</v>
      </c>
      <c r="G340" s="355">
        <v>46203</v>
      </c>
    </row>
    <row r="341" spans="1:8" ht="12.75" customHeight="1" x14ac:dyDescent="0.2">
      <c r="A341" s="11">
        <v>335</v>
      </c>
      <c r="B341" s="40" t="s">
        <v>202</v>
      </c>
      <c r="C341" s="374" t="s">
        <v>550</v>
      </c>
      <c r="D341" s="375" t="s">
        <v>549</v>
      </c>
      <c r="E341" s="344" t="s">
        <v>221</v>
      </c>
      <c r="F341" s="376">
        <v>45953</v>
      </c>
      <c r="G341" s="376">
        <v>46296</v>
      </c>
    </row>
    <row r="342" spans="1:8" ht="12.75" customHeight="1" x14ac:dyDescent="0.2">
      <c r="A342" s="11">
        <v>336</v>
      </c>
      <c r="B342" s="40" t="s">
        <v>206</v>
      </c>
      <c r="C342" s="323" t="s">
        <v>113</v>
      </c>
      <c r="D342" s="323" t="s">
        <v>259</v>
      </c>
      <c r="E342" s="321" t="s">
        <v>262</v>
      </c>
      <c r="F342" s="378">
        <v>45953</v>
      </c>
      <c r="G342" s="378">
        <v>46022</v>
      </c>
    </row>
    <row r="343" spans="1:8" ht="12.75" customHeight="1" x14ac:dyDescent="0.2">
      <c r="A343" s="11">
        <v>337</v>
      </c>
      <c r="B343" s="40" t="s">
        <v>202</v>
      </c>
      <c r="C343" s="323" t="s">
        <v>309</v>
      </c>
      <c r="D343" s="323" t="s">
        <v>308</v>
      </c>
      <c r="E343" s="328" t="s">
        <v>581</v>
      </c>
      <c r="F343" s="379">
        <v>45950</v>
      </c>
      <c r="G343" s="379">
        <v>46296</v>
      </c>
    </row>
    <row r="344" spans="1:8" ht="12.75" customHeight="1" x14ac:dyDescent="0.2">
      <c r="A344" s="11">
        <v>338</v>
      </c>
      <c r="B344" s="40" t="s">
        <v>206</v>
      </c>
      <c r="C344" s="323" t="s">
        <v>552</v>
      </c>
      <c r="D344" s="323" t="s">
        <v>551</v>
      </c>
      <c r="E344" s="321" t="s">
        <v>262</v>
      </c>
      <c r="F344" s="380">
        <v>45947</v>
      </c>
      <c r="G344" s="380">
        <v>46022</v>
      </c>
    </row>
    <row r="345" spans="1:8" ht="12.75" customHeight="1" x14ac:dyDescent="0.2">
      <c r="A345" s="11">
        <v>339</v>
      </c>
      <c r="B345" s="40" t="s">
        <v>206</v>
      </c>
      <c r="C345" s="381" t="s">
        <v>223</v>
      </c>
      <c r="D345" s="381" t="s">
        <v>222</v>
      </c>
      <c r="E345" s="382" t="s">
        <v>221</v>
      </c>
      <c r="F345" s="381"/>
      <c r="G345" s="381"/>
    </row>
    <row r="346" spans="1:8" ht="12.75" customHeight="1" x14ac:dyDescent="0.2">
      <c r="A346" s="11">
        <v>340</v>
      </c>
      <c r="B346" s="40" t="s">
        <v>203</v>
      </c>
      <c r="C346" s="374" t="s">
        <v>235</v>
      </c>
      <c r="D346" s="322" t="s">
        <v>234</v>
      </c>
      <c r="E346" s="345" t="s">
        <v>221</v>
      </c>
    </row>
    <row r="347" spans="1:8" ht="12.75" customHeight="1" x14ac:dyDescent="0.2">
      <c r="A347" s="324">
        <v>341</v>
      </c>
      <c r="B347" s="40" t="s">
        <v>204</v>
      </c>
      <c r="C347" s="381" t="s">
        <v>188</v>
      </c>
      <c r="D347" s="322" t="s">
        <v>189</v>
      </c>
      <c r="E347" s="382" t="s">
        <v>221</v>
      </c>
    </row>
    <row r="348" spans="1:8" ht="12.75" customHeight="1" x14ac:dyDescent="0.2">
      <c r="A348" s="11">
        <v>342</v>
      </c>
      <c r="B348" s="40" t="s">
        <v>205</v>
      </c>
      <c r="C348" s="381" t="s">
        <v>553</v>
      </c>
      <c r="D348" s="381" t="s">
        <v>536</v>
      </c>
      <c r="E348" s="342" t="s">
        <v>221</v>
      </c>
      <c r="F348" s="383">
        <v>45904</v>
      </c>
      <c r="G348" s="383">
        <v>46022</v>
      </c>
    </row>
    <row r="349" spans="1:8" ht="12.75" customHeight="1" x14ac:dyDescent="0.2">
      <c r="A349" s="11">
        <v>343</v>
      </c>
      <c r="B349" s="40" t="s">
        <v>206</v>
      </c>
      <c r="C349" s="35" t="s">
        <v>445</v>
      </c>
      <c r="D349" s="35" t="s">
        <v>334</v>
      </c>
      <c r="E349" s="328" t="s">
        <v>339</v>
      </c>
      <c r="F349" s="329">
        <v>45901</v>
      </c>
      <c r="G349" s="355">
        <v>47177</v>
      </c>
      <c r="H349" s="388"/>
    </row>
    <row r="350" spans="1:8" ht="12.75" customHeight="1" x14ac:dyDescent="0.2">
      <c r="A350" s="11">
        <v>344</v>
      </c>
      <c r="B350" s="40" t="s">
        <v>203</v>
      </c>
      <c r="C350" s="35" t="s">
        <v>555</v>
      </c>
      <c r="D350" s="35" t="s">
        <v>554</v>
      </c>
      <c r="E350" s="328" t="s">
        <v>339</v>
      </c>
      <c r="F350" s="329">
        <v>45901</v>
      </c>
      <c r="G350" s="355">
        <v>46203</v>
      </c>
      <c r="H350" s="388"/>
    </row>
    <row r="351" spans="1:8" ht="12.75" customHeight="1" x14ac:dyDescent="0.2">
      <c r="A351" s="11">
        <v>345</v>
      </c>
      <c r="B351" s="40" t="s">
        <v>205</v>
      </c>
      <c r="C351" s="374" t="s">
        <v>556</v>
      </c>
      <c r="D351" s="374" t="s">
        <v>357</v>
      </c>
      <c r="E351" s="374" t="s">
        <v>221</v>
      </c>
      <c r="F351" s="376">
        <v>45950</v>
      </c>
      <c r="G351" s="376">
        <v>46081</v>
      </c>
    </row>
    <row r="352" spans="1:8" ht="12.75" customHeight="1" x14ac:dyDescent="0.2">
      <c r="A352" s="11">
        <v>346</v>
      </c>
      <c r="B352" s="40" t="s">
        <v>202</v>
      </c>
      <c r="C352" s="323" t="s">
        <v>557</v>
      </c>
      <c r="D352" s="323" t="s">
        <v>128</v>
      </c>
      <c r="E352" s="323" t="s">
        <v>221</v>
      </c>
      <c r="F352" s="377" t="s">
        <v>558</v>
      </c>
      <c r="G352" s="378">
        <v>46296</v>
      </c>
    </row>
    <row r="353" spans="1:7" ht="12.75" customHeight="1" x14ac:dyDescent="0.2">
      <c r="A353" s="11">
        <v>347</v>
      </c>
      <c r="B353" s="40" t="s">
        <v>202</v>
      </c>
      <c r="C353" s="323" t="s">
        <v>559</v>
      </c>
      <c r="D353" s="323" t="s">
        <v>499</v>
      </c>
      <c r="E353" s="35" t="s">
        <v>221</v>
      </c>
      <c r="F353" s="378">
        <v>45945</v>
      </c>
      <c r="G353" s="378">
        <v>46296</v>
      </c>
    </row>
    <row r="354" spans="1:7" ht="12.75" customHeight="1" x14ac:dyDescent="0.2">
      <c r="A354" s="11">
        <v>348</v>
      </c>
      <c r="B354" s="40" t="s">
        <v>202</v>
      </c>
      <c r="C354" s="323" t="s">
        <v>311</v>
      </c>
      <c r="D354" s="323" t="s">
        <v>310</v>
      </c>
      <c r="E354" s="35" t="s">
        <v>221</v>
      </c>
      <c r="F354" s="378">
        <v>45905</v>
      </c>
      <c r="G354" s="378">
        <v>46266</v>
      </c>
    </row>
    <row r="355" spans="1:7" ht="12.75" customHeight="1" x14ac:dyDescent="0.2">
      <c r="A355" s="11">
        <v>349</v>
      </c>
      <c r="B355" s="40" t="s">
        <v>202</v>
      </c>
      <c r="C355" s="323" t="s">
        <v>120</v>
      </c>
      <c r="D355" s="323" t="s">
        <v>109</v>
      </c>
      <c r="E355" s="323" t="s">
        <v>221</v>
      </c>
      <c r="F355" s="378">
        <v>45925</v>
      </c>
      <c r="G355" s="378">
        <v>46081</v>
      </c>
    </row>
    <row r="356" spans="1:7" ht="12.75" customHeight="1" x14ac:dyDescent="0.2">
      <c r="A356" s="11">
        <v>350</v>
      </c>
      <c r="B356" s="40" t="s">
        <v>202</v>
      </c>
      <c r="C356" s="323" t="s">
        <v>129</v>
      </c>
      <c r="D356" s="323" t="s">
        <v>130</v>
      </c>
      <c r="E356" s="333" t="s">
        <v>262</v>
      </c>
      <c r="F356" s="42">
        <v>45906</v>
      </c>
      <c r="G356" s="42">
        <v>45996</v>
      </c>
    </row>
    <row r="357" spans="1:7" ht="12.75" customHeight="1" x14ac:dyDescent="0.2">
      <c r="A357" s="11">
        <v>351</v>
      </c>
      <c r="B357" s="40" t="s">
        <v>202</v>
      </c>
      <c r="C357" s="332" t="s">
        <v>127</v>
      </c>
      <c r="D357" s="321" t="s">
        <v>128</v>
      </c>
      <c r="E357" s="333" t="s">
        <v>262</v>
      </c>
      <c r="F357" s="378">
        <v>45910</v>
      </c>
      <c r="G357" s="378">
        <v>46000</v>
      </c>
    </row>
    <row r="358" spans="1:7" ht="12.75" customHeight="1" x14ac:dyDescent="0.2">
      <c r="A358" s="11">
        <v>352</v>
      </c>
      <c r="B358" s="40" t="s">
        <v>202</v>
      </c>
      <c r="C358" s="323" t="s">
        <v>133</v>
      </c>
      <c r="D358" s="35" t="s">
        <v>134</v>
      </c>
      <c r="E358" s="333" t="s">
        <v>262</v>
      </c>
      <c r="F358" s="384">
        <v>45911</v>
      </c>
      <c r="G358" s="384">
        <v>46001</v>
      </c>
    </row>
    <row r="359" spans="1:7" ht="12.75" customHeight="1" x14ac:dyDescent="0.2">
      <c r="A359" s="324">
        <v>353</v>
      </c>
      <c r="B359" s="40" t="s">
        <v>202</v>
      </c>
      <c r="C359" s="323" t="s">
        <v>143</v>
      </c>
      <c r="D359" s="323" t="s">
        <v>142</v>
      </c>
      <c r="E359" s="333" t="s">
        <v>262</v>
      </c>
      <c r="F359" s="378">
        <v>45931</v>
      </c>
      <c r="G359" s="378">
        <v>46022</v>
      </c>
    </row>
    <row r="360" spans="1:7" ht="12.75" customHeight="1" x14ac:dyDescent="0.2">
      <c r="A360" s="11">
        <v>354</v>
      </c>
      <c r="B360" s="40" t="s">
        <v>202</v>
      </c>
      <c r="C360" s="381" t="s">
        <v>147</v>
      </c>
      <c r="D360" s="381" t="s">
        <v>137</v>
      </c>
      <c r="E360" s="360" t="s">
        <v>262</v>
      </c>
      <c r="F360" s="383">
        <v>45950</v>
      </c>
      <c r="G360" s="383">
        <v>46022</v>
      </c>
    </row>
    <row r="361" spans="1:7" ht="12.75" customHeight="1" x14ac:dyDescent="0.2">
      <c r="A361" s="11">
        <v>355</v>
      </c>
      <c r="B361" s="40" t="s">
        <v>202</v>
      </c>
      <c r="C361" s="323" t="s">
        <v>113</v>
      </c>
      <c r="D361" s="323" t="s">
        <v>259</v>
      </c>
      <c r="E361" s="333" t="s">
        <v>262</v>
      </c>
      <c r="F361" s="378">
        <v>45953</v>
      </c>
      <c r="G361" s="378">
        <v>46022</v>
      </c>
    </row>
    <row r="362" spans="1:7" ht="12.75" customHeight="1" x14ac:dyDescent="0.2">
      <c r="A362" s="11">
        <v>356</v>
      </c>
      <c r="B362" s="40" t="s">
        <v>206</v>
      </c>
      <c r="C362" s="356" t="s">
        <v>560</v>
      </c>
      <c r="D362" s="356" t="s">
        <v>245</v>
      </c>
      <c r="E362" s="328" t="s">
        <v>339</v>
      </c>
      <c r="F362" s="329">
        <v>45901</v>
      </c>
      <c r="G362" s="355">
        <v>46203</v>
      </c>
    </row>
    <row r="363" spans="1:7" ht="12.75" customHeight="1" x14ac:dyDescent="0.2">
      <c r="A363" s="11">
        <v>357</v>
      </c>
      <c r="B363" s="40" t="s">
        <v>205</v>
      </c>
      <c r="C363" s="356" t="s">
        <v>561</v>
      </c>
      <c r="D363" s="356" t="s">
        <v>348</v>
      </c>
      <c r="E363" s="328" t="s">
        <v>339</v>
      </c>
      <c r="F363" s="329">
        <v>45931</v>
      </c>
      <c r="G363" s="357">
        <v>46934</v>
      </c>
    </row>
    <row r="364" spans="1:7" ht="12.75" customHeight="1" x14ac:dyDescent="0.2">
      <c r="A364" s="11">
        <v>358</v>
      </c>
      <c r="B364" s="40" t="s">
        <v>203</v>
      </c>
      <c r="C364" s="385" t="s">
        <v>562</v>
      </c>
      <c r="D364" s="385" t="s">
        <v>95</v>
      </c>
      <c r="E364" s="328" t="s">
        <v>581</v>
      </c>
      <c r="F364" s="379">
        <v>45910</v>
      </c>
      <c r="G364" s="379">
        <v>46203</v>
      </c>
    </row>
    <row r="365" spans="1:7" ht="12.75" customHeight="1" x14ac:dyDescent="0.2">
      <c r="A365" s="11">
        <v>359</v>
      </c>
      <c r="B365" s="40" t="s">
        <v>203</v>
      </c>
      <c r="C365" s="323" t="s">
        <v>563</v>
      </c>
      <c r="D365" s="323" t="s">
        <v>375</v>
      </c>
      <c r="E365" s="35" t="s">
        <v>221</v>
      </c>
      <c r="F365" s="378">
        <v>45909</v>
      </c>
      <c r="G365" s="378">
        <v>46203</v>
      </c>
    </row>
    <row r="366" spans="1:7" ht="12.75" customHeight="1" x14ac:dyDescent="0.2">
      <c r="A366" s="11">
        <v>360</v>
      </c>
      <c r="B366" s="40" t="s">
        <v>206</v>
      </c>
      <c r="C366" s="323" t="s">
        <v>564</v>
      </c>
      <c r="D366" s="323" t="s">
        <v>107</v>
      </c>
      <c r="E366" s="328" t="s">
        <v>581</v>
      </c>
      <c r="F366" s="42">
        <v>45537</v>
      </c>
      <c r="G366" s="42">
        <v>46203</v>
      </c>
    </row>
    <row r="367" spans="1:7" ht="12.75" customHeight="1" x14ac:dyDescent="0.2">
      <c r="A367" s="11">
        <v>361</v>
      </c>
      <c r="B367" s="40" t="s">
        <v>205</v>
      </c>
      <c r="C367" s="323" t="s">
        <v>565</v>
      </c>
      <c r="D367" s="323" t="s">
        <v>357</v>
      </c>
      <c r="E367" s="328" t="s">
        <v>581</v>
      </c>
      <c r="F367" s="42">
        <v>45537</v>
      </c>
      <c r="G367" s="42">
        <v>46415</v>
      </c>
    </row>
    <row r="368" spans="1:7" ht="12.75" customHeight="1" x14ac:dyDescent="0.2">
      <c r="A368" s="11">
        <v>362</v>
      </c>
      <c r="B368" s="40" t="s">
        <v>203</v>
      </c>
      <c r="C368" s="323" t="s">
        <v>567</v>
      </c>
      <c r="D368" s="323" t="s">
        <v>566</v>
      </c>
      <c r="E368" s="328" t="s">
        <v>581</v>
      </c>
      <c r="F368" s="378">
        <v>45537</v>
      </c>
      <c r="G368" s="378">
        <v>46337</v>
      </c>
    </row>
    <row r="369" spans="1:7" ht="12.75" customHeight="1" x14ac:dyDescent="0.2">
      <c r="A369" s="11">
        <v>363</v>
      </c>
      <c r="B369" s="40" t="s">
        <v>203</v>
      </c>
      <c r="C369" s="323" t="s">
        <v>569</v>
      </c>
      <c r="D369" s="323" t="s">
        <v>568</v>
      </c>
      <c r="E369" s="328" t="s">
        <v>581</v>
      </c>
      <c r="F369" s="378">
        <v>45537</v>
      </c>
      <c r="G369" s="378">
        <v>46035</v>
      </c>
    </row>
    <row r="370" spans="1:7" ht="12.75" customHeight="1" x14ac:dyDescent="0.2">
      <c r="A370" s="11">
        <v>364</v>
      </c>
      <c r="B370" s="40" t="s">
        <v>203</v>
      </c>
      <c r="C370" s="323" t="s">
        <v>269</v>
      </c>
      <c r="D370" s="323" t="s">
        <v>100</v>
      </c>
      <c r="E370" s="328" t="s">
        <v>581</v>
      </c>
      <c r="F370" s="378">
        <v>45537</v>
      </c>
      <c r="G370" s="378">
        <v>46568</v>
      </c>
    </row>
    <row r="371" spans="1:7" ht="12.75" customHeight="1" x14ac:dyDescent="0.2">
      <c r="A371" s="324">
        <v>365</v>
      </c>
      <c r="B371" s="40" t="s">
        <v>206</v>
      </c>
      <c r="C371" s="323" t="s">
        <v>571</v>
      </c>
      <c r="D371" s="323" t="s">
        <v>570</v>
      </c>
      <c r="E371" s="328" t="s">
        <v>581</v>
      </c>
      <c r="F371" s="378">
        <v>45537</v>
      </c>
      <c r="G371" s="378">
        <v>46203</v>
      </c>
    </row>
    <row r="372" spans="1:7" ht="12.75" customHeight="1" x14ac:dyDescent="0.2">
      <c r="A372" s="11">
        <v>366</v>
      </c>
      <c r="B372" s="40" t="s">
        <v>203</v>
      </c>
      <c r="C372" s="323" t="s">
        <v>573</v>
      </c>
      <c r="D372" s="323" t="s">
        <v>572</v>
      </c>
      <c r="E372" s="35" t="s">
        <v>221</v>
      </c>
      <c r="F372" s="378">
        <v>45909</v>
      </c>
      <c r="G372" s="378">
        <v>46266</v>
      </c>
    </row>
    <row r="373" spans="1:7" ht="12.75" customHeight="1" x14ac:dyDescent="0.2">
      <c r="A373" s="11">
        <v>367</v>
      </c>
      <c r="B373" s="40" t="s">
        <v>206</v>
      </c>
      <c r="C373" s="323" t="s">
        <v>575</v>
      </c>
      <c r="D373" s="323" t="s">
        <v>574</v>
      </c>
      <c r="E373" s="323" t="s">
        <v>262</v>
      </c>
      <c r="F373" s="378">
        <v>45910</v>
      </c>
      <c r="G373" s="378">
        <v>46000</v>
      </c>
    </row>
    <row r="374" spans="1:7" ht="12.75" customHeight="1" x14ac:dyDescent="0.2">
      <c r="A374" s="11">
        <v>368</v>
      </c>
      <c r="B374" s="40" t="s">
        <v>203</v>
      </c>
      <c r="C374" s="356" t="s">
        <v>487</v>
      </c>
      <c r="D374" s="356" t="s">
        <v>481</v>
      </c>
      <c r="E374" s="386" t="s">
        <v>339</v>
      </c>
      <c r="F374" s="329">
        <v>45901</v>
      </c>
      <c r="G374" s="387">
        <v>47177</v>
      </c>
    </row>
    <row r="375" spans="1:7" ht="12.75" customHeight="1" x14ac:dyDescent="0.2">
      <c r="A375" s="11">
        <v>369</v>
      </c>
      <c r="B375" s="40" t="s">
        <v>206</v>
      </c>
      <c r="C375" s="356" t="s">
        <v>576</v>
      </c>
      <c r="D375" s="356" t="s">
        <v>325</v>
      </c>
      <c r="E375" s="386" t="s">
        <v>339</v>
      </c>
      <c r="F375" s="329">
        <v>45901</v>
      </c>
      <c r="G375" s="387">
        <v>47177</v>
      </c>
    </row>
    <row r="376" spans="1:7" ht="12.75" customHeight="1" x14ac:dyDescent="0.2">
      <c r="A376" s="11">
        <v>370</v>
      </c>
      <c r="B376" s="40" t="s">
        <v>203</v>
      </c>
      <c r="C376" s="356" t="s">
        <v>492</v>
      </c>
      <c r="D376" s="356" t="s">
        <v>255</v>
      </c>
      <c r="E376" s="386" t="s">
        <v>339</v>
      </c>
      <c r="F376" s="387">
        <v>45901</v>
      </c>
      <c r="G376" s="356"/>
    </row>
    <row r="377" spans="1:7" ht="12.75" customHeight="1" x14ac:dyDescent="0.2">
      <c r="A377" s="11">
        <v>371</v>
      </c>
      <c r="B377" s="40" t="s">
        <v>202</v>
      </c>
      <c r="C377" s="356" t="s">
        <v>450</v>
      </c>
      <c r="D377" s="356" t="s">
        <v>132</v>
      </c>
      <c r="E377" s="386" t="s">
        <v>339</v>
      </c>
      <c r="F377" s="387">
        <v>45901</v>
      </c>
      <c r="G377" s="356"/>
    </row>
    <row r="378" spans="1:7" ht="12.75" customHeight="1" x14ac:dyDescent="0.2">
      <c r="A378" s="455">
        <v>1</v>
      </c>
      <c r="B378" s="158" t="s">
        <v>202</v>
      </c>
      <c r="C378" s="456" t="s">
        <v>127</v>
      </c>
      <c r="D378" s="457" t="s">
        <v>128</v>
      </c>
      <c r="E378" s="458" t="s">
        <v>46</v>
      </c>
    </row>
    <row r="379" spans="1:7" ht="12.75" customHeight="1" x14ac:dyDescent="0.2">
      <c r="A379" s="158">
        <v>2</v>
      </c>
      <c r="B379" s="158" t="s">
        <v>202</v>
      </c>
      <c r="C379" s="197" t="s">
        <v>129</v>
      </c>
      <c r="D379" s="198" t="s">
        <v>130</v>
      </c>
      <c r="E379" s="458"/>
    </row>
    <row r="380" spans="1:7" ht="12.75" customHeight="1" x14ac:dyDescent="0.2">
      <c r="A380" s="158">
        <v>3</v>
      </c>
      <c r="B380" s="158" t="s">
        <v>202</v>
      </c>
      <c r="C380" s="197" t="s">
        <v>133</v>
      </c>
      <c r="D380" s="198" t="s">
        <v>134</v>
      </c>
      <c r="E380" s="458" t="s">
        <v>169</v>
      </c>
    </row>
    <row r="381" spans="1:7" ht="12.75" customHeight="1" x14ac:dyDescent="0.2">
      <c r="A381" s="158">
        <v>4</v>
      </c>
      <c r="B381" s="158" t="s">
        <v>202</v>
      </c>
      <c r="C381" s="197" t="s">
        <v>144</v>
      </c>
      <c r="D381" s="198" t="s">
        <v>134</v>
      </c>
      <c r="E381" s="458" t="s">
        <v>583</v>
      </c>
    </row>
    <row r="382" spans="1:7" ht="12.75" customHeight="1" x14ac:dyDescent="0.2">
      <c r="A382" s="158">
        <v>5</v>
      </c>
      <c r="B382" s="158" t="s">
        <v>202</v>
      </c>
      <c r="C382" s="197" t="s">
        <v>143</v>
      </c>
      <c r="D382" s="198" t="s">
        <v>142</v>
      </c>
      <c r="E382" s="458" t="s">
        <v>207</v>
      </c>
    </row>
    <row r="383" spans="1:7" ht="12.75" customHeight="1" x14ac:dyDescent="0.2">
      <c r="A383" s="158">
        <v>6</v>
      </c>
      <c r="B383" s="158" t="s">
        <v>202</v>
      </c>
      <c r="C383" s="197" t="s">
        <v>584</v>
      </c>
      <c r="D383" s="198" t="s">
        <v>131</v>
      </c>
      <c r="E383" s="458" t="s">
        <v>583</v>
      </c>
    </row>
    <row r="384" spans="1:7" ht="12.75" customHeight="1" x14ac:dyDescent="0.2">
      <c r="A384" s="158">
        <v>7</v>
      </c>
      <c r="B384" s="158" t="s">
        <v>202</v>
      </c>
      <c r="C384" s="197" t="s">
        <v>135</v>
      </c>
      <c r="D384" s="198" t="s">
        <v>132</v>
      </c>
      <c r="E384" s="458" t="s">
        <v>207</v>
      </c>
    </row>
    <row r="385" spans="1:5" ht="12.75" customHeight="1" x14ac:dyDescent="0.2">
      <c r="A385" s="158">
        <v>8</v>
      </c>
      <c r="B385" s="158" t="s">
        <v>202</v>
      </c>
      <c r="C385" s="197" t="s">
        <v>147</v>
      </c>
      <c r="D385" s="198" t="s">
        <v>137</v>
      </c>
      <c r="E385" s="458" t="s">
        <v>169</v>
      </c>
    </row>
    <row r="386" spans="1:5" ht="12.75" customHeight="1" x14ac:dyDescent="0.2">
      <c r="A386" s="158">
        <v>9</v>
      </c>
      <c r="B386" s="158" t="s">
        <v>202</v>
      </c>
      <c r="C386" s="197" t="s">
        <v>113</v>
      </c>
      <c r="D386" s="198" t="s">
        <v>114</v>
      </c>
      <c r="E386" s="458"/>
    </row>
    <row r="387" spans="1:5" ht="12.75" customHeight="1" x14ac:dyDescent="0.2">
      <c r="A387" s="158">
        <v>10</v>
      </c>
      <c r="B387" s="158" t="s">
        <v>202</v>
      </c>
      <c r="C387" s="197" t="s">
        <v>151</v>
      </c>
      <c r="D387" s="198" t="s">
        <v>152</v>
      </c>
      <c r="E387" s="458" t="s">
        <v>207</v>
      </c>
    </row>
    <row r="388" spans="1:5" ht="12.75" customHeight="1" x14ac:dyDescent="0.2">
      <c r="A388" s="158">
        <v>11</v>
      </c>
      <c r="B388" s="158" t="s">
        <v>202</v>
      </c>
      <c r="C388" s="197" t="s">
        <v>153</v>
      </c>
      <c r="D388" s="198" t="s">
        <v>154</v>
      </c>
      <c r="E388" s="458" t="s">
        <v>46</v>
      </c>
    </row>
    <row r="389" spans="1:5" ht="12.75" customHeight="1" x14ac:dyDescent="0.2">
      <c r="A389" s="158">
        <v>12</v>
      </c>
      <c r="B389" s="158" t="s">
        <v>202</v>
      </c>
      <c r="C389" s="197" t="s">
        <v>155</v>
      </c>
      <c r="D389" s="198" t="s">
        <v>116</v>
      </c>
      <c r="E389" s="458" t="s">
        <v>583</v>
      </c>
    </row>
    <row r="390" spans="1:5" ht="12.75" customHeight="1" x14ac:dyDescent="0.2">
      <c r="A390" s="455">
        <v>13</v>
      </c>
      <c r="B390" s="158" t="s">
        <v>204</v>
      </c>
      <c r="C390" s="197" t="s">
        <v>585</v>
      </c>
      <c r="D390" s="198" t="s">
        <v>110</v>
      </c>
      <c r="E390" s="459"/>
    </row>
    <row r="391" spans="1:5" ht="12.75" customHeight="1" x14ac:dyDescent="0.2">
      <c r="A391" s="158">
        <v>14</v>
      </c>
      <c r="B391" s="158" t="s">
        <v>204</v>
      </c>
      <c r="C391" s="197" t="s">
        <v>179</v>
      </c>
      <c r="D391" s="198" t="s">
        <v>180</v>
      </c>
      <c r="E391" s="459" t="s">
        <v>46</v>
      </c>
    </row>
    <row r="392" spans="1:5" ht="12.75" customHeight="1" x14ac:dyDescent="0.2">
      <c r="A392" s="158">
        <v>15</v>
      </c>
      <c r="B392" s="158" t="s">
        <v>204</v>
      </c>
      <c r="C392" s="197" t="s">
        <v>181</v>
      </c>
      <c r="D392" s="198" t="s">
        <v>182</v>
      </c>
      <c r="E392" s="459"/>
    </row>
    <row r="393" spans="1:5" ht="12.75" customHeight="1" x14ac:dyDescent="0.2">
      <c r="A393" s="158">
        <v>16</v>
      </c>
      <c r="B393" s="158" t="s">
        <v>204</v>
      </c>
      <c r="C393" s="197" t="s">
        <v>183</v>
      </c>
      <c r="D393" s="198" t="s">
        <v>108</v>
      </c>
      <c r="E393" s="459" t="s">
        <v>207</v>
      </c>
    </row>
    <row r="394" spans="1:5" ht="12.75" customHeight="1" x14ac:dyDescent="0.2">
      <c r="A394" s="158">
        <v>17</v>
      </c>
      <c r="B394" s="158" t="s">
        <v>204</v>
      </c>
      <c r="C394" s="197" t="s">
        <v>184</v>
      </c>
      <c r="D394" s="198" t="s">
        <v>185</v>
      </c>
      <c r="E394" s="459" t="s">
        <v>46</v>
      </c>
    </row>
    <row r="395" spans="1:5" ht="12.75" customHeight="1" x14ac:dyDescent="0.2">
      <c r="A395" s="158">
        <v>18</v>
      </c>
      <c r="B395" s="158" t="s">
        <v>204</v>
      </c>
      <c r="C395" s="197" t="s">
        <v>186</v>
      </c>
      <c r="D395" s="198" t="s">
        <v>112</v>
      </c>
      <c r="E395" s="459"/>
    </row>
    <row r="396" spans="1:5" ht="12.75" customHeight="1" x14ac:dyDescent="0.2">
      <c r="A396" s="158">
        <v>19</v>
      </c>
      <c r="B396" s="158" t="s">
        <v>204</v>
      </c>
      <c r="C396" s="197" t="s">
        <v>187</v>
      </c>
      <c r="D396" s="198" t="s">
        <v>112</v>
      </c>
      <c r="E396" s="459" t="s">
        <v>46</v>
      </c>
    </row>
    <row r="397" spans="1:5" ht="12.75" customHeight="1" x14ac:dyDescent="0.2">
      <c r="A397" s="158">
        <v>20</v>
      </c>
      <c r="B397" s="158" t="s">
        <v>204</v>
      </c>
      <c r="C397" s="197" t="s">
        <v>188</v>
      </c>
      <c r="D397" s="198" t="s">
        <v>189</v>
      </c>
      <c r="E397" s="459" t="s">
        <v>583</v>
      </c>
    </row>
    <row r="398" spans="1:5" ht="12.75" customHeight="1" x14ac:dyDescent="0.2">
      <c r="A398" s="158">
        <v>21</v>
      </c>
      <c r="B398" s="158" t="s">
        <v>204</v>
      </c>
      <c r="C398" s="197" t="s">
        <v>190</v>
      </c>
      <c r="D398" s="198" t="s">
        <v>189</v>
      </c>
      <c r="E398" s="459" t="s">
        <v>583</v>
      </c>
    </row>
    <row r="399" spans="1:5" ht="12.75" customHeight="1" x14ac:dyDescent="0.2">
      <c r="A399" s="158">
        <v>22</v>
      </c>
      <c r="B399" s="158" t="s">
        <v>204</v>
      </c>
      <c r="C399" s="197" t="s">
        <v>191</v>
      </c>
      <c r="D399" s="198" t="s">
        <v>192</v>
      </c>
      <c r="E399" s="459"/>
    </row>
    <row r="400" spans="1:5" ht="12.75" customHeight="1" x14ac:dyDescent="0.2">
      <c r="A400" s="158">
        <v>23</v>
      </c>
      <c r="B400" s="158" t="s">
        <v>206</v>
      </c>
      <c r="C400" s="197" t="s">
        <v>158</v>
      </c>
      <c r="D400" s="460" t="s">
        <v>157</v>
      </c>
      <c r="E400" s="459"/>
    </row>
    <row r="401" spans="1:5" ht="12.75" customHeight="1" x14ac:dyDescent="0.2">
      <c r="A401" s="158">
        <v>24</v>
      </c>
      <c r="B401" s="158" t="s">
        <v>206</v>
      </c>
      <c r="C401" s="197" t="s">
        <v>586</v>
      </c>
      <c r="D401" s="198" t="s">
        <v>587</v>
      </c>
      <c r="E401" s="459" t="s">
        <v>583</v>
      </c>
    </row>
    <row r="402" spans="1:5" ht="12.75" customHeight="1" x14ac:dyDescent="0.2">
      <c r="A402" s="455">
        <v>25</v>
      </c>
      <c r="B402" s="158" t="s">
        <v>206</v>
      </c>
      <c r="C402" s="197" t="s">
        <v>588</v>
      </c>
      <c r="D402" s="198" t="s">
        <v>99</v>
      </c>
      <c r="E402" s="459"/>
    </row>
    <row r="403" spans="1:5" ht="12.75" customHeight="1" x14ac:dyDescent="0.2">
      <c r="A403" s="158">
        <v>26</v>
      </c>
      <c r="B403" s="158" t="s">
        <v>206</v>
      </c>
      <c r="C403" s="197" t="s">
        <v>589</v>
      </c>
      <c r="D403" s="198" t="s">
        <v>590</v>
      </c>
      <c r="E403" s="459" t="s">
        <v>169</v>
      </c>
    </row>
    <row r="404" spans="1:5" ht="12.75" customHeight="1" x14ac:dyDescent="0.2">
      <c r="A404" s="158">
        <v>27</v>
      </c>
      <c r="B404" s="158" t="s">
        <v>206</v>
      </c>
      <c r="C404" s="197" t="s">
        <v>591</v>
      </c>
      <c r="D404" s="198" t="s">
        <v>592</v>
      </c>
      <c r="E404" s="459" t="s">
        <v>169</v>
      </c>
    </row>
    <row r="405" spans="1:5" ht="12.75" customHeight="1" x14ac:dyDescent="0.2">
      <c r="A405" s="158">
        <v>28</v>
      </c>
      <c r="B405" s="158" t="s">
        <v>206</v>
      </c>
      <c r="C405" s="197" t="s">
        <v>593</v>
      </c>
      <c r="D405" s="198" t="s">
        <v>99</v>
      </c>
      <c r="E405" s="459" t="s">
        <v>207</v>
      </c>
    </row>
    <row r="406" spans="1:5" ht="12.75" customHeight="1" x14ac:dyDescent="0.2">
      <c r="A406" s="158">
        <v>29</v>
      </c>
      <c r="B406" s="158" t="s">
        <v>205</v>
      </c>
      <c r="C406" s="197" t="s">
        <v>193</v>
      </c>
      <c r="D406" s="198" t="s">
        <v>194</v>
      </c>
      <c r="E406" s="459"/>
    </row>
    <row r="407" spans="1:5" ht="12.75" customHeight="1" x14ac:dyDescent="0.2">
      <c r="A407" s="158">
        <v>30</v>
      </c>
      <c r="B407" s="158" t="s">
        <v>205</v>
      </c>
      <c r="C407" s="197" t="s">
        <v>195</v>
      </c>
      <c r="D407" s="198" t="s">
        <v>196</v>
      </c>
      <c r="E407" s="459" t="s">
        <v>583</v>
      </c>
    </row>
    <row r="408" spans="1:5" ht="12.75" customHeight="1" x14ac:dyDescent="0.2">
      <c r="A408" s="158">
        <v>31</v>
      </c>
      <c r="B408" s="158" t="s">
        <v>205</v>
      </c>
      <c r="C408" s="197" t="s">
        <v>197</v>
      </c>
      <c r="D408" s="198" t="s">
        <v>196</v>
      </c>
      <c r="E408" s="459" t="s">
        <v>169</v>
      </c>
    </row>
    <row r="409" spans="1:5" ht="12.75" customHeight="1" x14ac:dyDescent="0.2">
      <c r="A409" s="158">
        <v>32</v>
      </c>
      <c r="B409" s="158" t="s">
        <v>205</v>
      </c>
      <c r="C409" s="197" t="s">
        <v>198</v>
      </c>
      <c r="D409" s="198" t="s">
        <v>194</v>
      </c>
      <c r="E409" s="459" t="s">
        <v>46</v>
      </c>
    </row>
    <row r="410" spans="1:5" ht="12.75" customHeight="1" x14ac:dyDescent="0.2">
      <c r="A410" s="158">
        <v>33</v>
      </c>
      <c r="B410" s="158" t="s">
        <v>205</v>
      </c>
      <c r="C410" s="197" t="s">
        <v>594</v>
      </c>
      <c r="D410" s="198" t="s">
        <v>199</v>
      </c>
      <c r="E410" s="459"/>
    </row>
    <row r="411" spans="1:5" ht="12.75" customHeight="1" x14ac:dyDescent="0.2">
      <c r="A411" s="158">
        <v>34</v>
      </c>
      <c r="B411" s="158" t="s">
        <v>205</v>
      </c>
      <c r="C411" s="197" t="s">
        <v>595</v>
      </c>
      <c r="D411" s="198" t="s">
        <v>200</v>
      </c>
      <c r="E411" s="459" t="s">
        <v>583</v>
      </c>
    </row>
  </sheetData>
  <autoFilter ref="A6:I411"/>
  <dataConsolidate/>
  <mergeCells count="2">
    <mergeCell ref="A4:B4"/>
    <mergeCell ref="A2:B2"/>
  </mergeCells>
  <dataValidations count="5">
    <dataValidation type="list" allowBlank="1" showInputMessage="1" showErrorMessage="1" sqref="P7:P12">
      <formula1>$P$6:$P$12</formula1>
    </dataValidation>
    <dataValidation type="list" showInputMessage="1" prompt="Выберите корпус" sqref="C4">
      <formula1>$P$6:$P$12</formula1>
    </dataValidation>
    <dataValidation type="list" allowBlank="1" showInputMessage="1" showErrorMessage="1" sqref="R16:R18">
      <formula1>$R$7:$R$18</formula1>
    </dataValidation>
    <dataValidation type="list" allowBlank="1" showInputMessage="1" showErrorMessage="1" sqref="R7:R15">
      <formula1>$F$4+$R$7:$R$20</formula1>
    </dataValidation>
    <dataValidation type="list" allowBlank="1" showInputMessage="1" showErrorMessage="1" sqref="F4">
      <formula1>$R$7:$R$36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FilterBtn">
          <controlPr defaultSize="0" autoLine="0" r:id="rId4">
            <anchor moveWithCells="1">
              <from>
                <xdr:col>8</xdr:col>
                <xdr:colOff>85725</xdr:colOff>
                <xdr:row>2</xdr:row>
                <xdr:rowOff>85725</xdr:rowOff>
              </from>
              <to>
                <xdr:col>10</xdr:col>
                <xdr:colOff>76200</xdr:colOff>
                <xdr:row>4</xdr:row>
                <xdr:rowOff>47625</xdr:rowOff>
              </to>
            </anchor>
          </controlPr>
        </control>
      </mc:Choice>
      <mc:Fallback>
        <control shapeId="1027" r:id="rId3" name="FilterBtn"/>
      </mc:Fallback>
    </mc:AlternateContent>
    <mc:AlternateContent xmlns:mc="http://schemas.openxmlformats.org/markup-compatibility/2006">
      <mc:Choice Requires="x14">
        <control shapeId="1034" r:id="rId5" name="ResetBtn">
          <controlPr defaultSize="0" autoLine="0" r:id="rId6">
            <anchor moveWithCells="1">
              <from>
                <xdr:col>10</xdr:col>
                <xdr:colOff>352425</xdr:colOff>
                <xdr:row>2</xdr:row>
                <xdr:rowOff>114300</xdr:rowOff>
              </from>
              <to>
                <xdr:col>12</xdr:col>
                <xdr:colOff>409575</xdr:colOff>
                <xdr:row>4</xdr:row>
                <xdr:rowOff>47625</xdr:rowOff>
              </to>
            </anchor>
          </controlPr>
        </control>
      </mc:Choice>
      <mc:Fallback>
        <control shapeId="1034" r:id="rId5" name="Reset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FF00"/>
  </sheetPr>
  <dimension ref="A1:GL165"/>
  <sheetViews>
    <sheetView showGridLines="0" zoomScaleNormal="100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B107" sqref="B107"/>
    </sheetView>
  </sheetViews>
  <sheetFormatPr defaultColWidth="10.7109375" defaultRowHeight="12.75" outlineLevelRow="1" x14ac:dyDescent="0.2"/>
  <cols>
    <col min="1" max="1" width="7.140625" style="68" customWidth="1"/>
    <col min="2" max="2" width="16.140625" style="68" customWidth="1"/>
    <col min="3" max="3" width="15.28515625" style="68" customWidth="1"/>
    <col min="4" max="4" width="3.28515625" style="68" customWidth="1"/>
    <col min="5" max="5" width="13.7109375" style="68" customWidth="1"/>
    <col min="6" max="6" width="10.7109375" style="68" customWidth="1"/>
    <col min="7" max="7" width="6.28515625" style="68" customWidth="1"/>
    <col min="8" max="8" width="17.85546875" style="68" customWidth="1"/>
    <col min="9" max="9" width="11.140625" style="68" customWidth="1"/>
    <col min="10" max="10" width="10.7109375" style="95" customWidth="1"/>
    <col min="11" max="11" width="10.7109375" style="68" customWidth="1"/>
    <col min="12" max="256" width="10.7109375" style="68"/>
    <col min="257" max="257" width="7.140625" style="68" customWidth="1"/>
    <col min="258" max="258" width="13.28515625" style="68" customWidth="1"/>
    <col min="259" max="259" width="15.28515625" style="68" customWidth="1"/>
    <col min="260" max="260" width="3.28515625" style="68" customWidth="1"/>
    <col min="261" max="261" width="13.7109375" style="68" customWidth="1"/>
    <col min="262" max="262" width="10.7109375" style="68" customWidth="1"/>
    <col min="263" max="263" width="6.28515625" style="68" customWidth="1"/>
    <col min="264" max="264" width="17.85546875" style="68" customWidth="1"/>
    <col min="265" max="265" width="11.140625" style="68" customWidth="1"/>
    <col min="266" max="267" width="10.7109375" style="68" customWidth="1"/>
    <col min="268" max="512" width="10.7109375" style="68"/>
    <col min="513" max="513" width="7.140625" style="68" customWidth="1"/>
    <col min="514" max="514" width="13.28515625" style="68" customWidth="1"/>
    <col min="515" max="515" width="15.28515625" style="68" customWidth="1"/>
    <col min="516" max="516" width="3.28515625" style="68" customWidth="1"/>
    <col min="517" max="517" width="13.7109375" style="68" customWidth="1"/>
    <col min="518" max="518" width="10.7109375" style="68" customWidth="1"/>
    <col min="519" max="519" width="6.28515625" style="68" customWidth="1"/>
    <col min="520" max="520" width="17.85546875" style="68" customWidth="1"/>
    <col min="521" max="521" width="11.140625" style="68" customWidth="1"/>
    <col min="522" max="523" width="10.7109375" style="68" customWidth="1"/>
    <col min="524" max="768" width="10.7109375" style="68"/>
    <col min="769" max="769" width="7.140625" style="68" customWidth="1"/>
    <col min="770" max="770" width="13.28515625" style="68" customWidth="1"/>
    <col min="771" max="771" width="15.28515625" style="68" customWidth="1"/>
    <col min="772" max="772" width="3.28515625" style="68" customWidth="1"/>
    <col min="773" max="773" width="13.7109375" style="68" customWidth="1"/>
    <col min="774" max="774" width="10.7109375" style="68" customWidth="1"/>
    <col min="775" max="775" width="6.28515625" style="68" customWidth="1"/>
    <col min="776" max="776" width="17.85546875" style="68" customWidth="1"/>
    <col min="777" max="777" width="11.140625" style="68" customWidth="1"/>
    <col min="778" max="779" width="10.7109375" style="68" customWidth="1"/>
    <col min="780" max="1024" width="10.7109375" style="68"/>
    <col min="1025" max="1025" width="7.140625" style="68" customWidth="1"/>
    <col min="1026" max="1026" width="13.28515625" style="68" customWidth="1"/>
    <col min="1027" max="1027" width="15.28515625" style="68" customWidth="1"/>
    <col min="1028" max="1028" width="3.28515625" style="68" customWidth="1"/>
    <col min="1029" max="1029" width="13.7109375" style="68" customWidth="1"/>
    <col min="1030" max="1030" width="10.7109375" style="68" customWidth="1"/>
    <col min="1031" max="1031" width="6.28515625" style="68" customWidth="1"/>
    <col min="1032" max="1032" width="17.85546875" style="68" customWidth="1"/>
    <col min="1033" max="1033" width="11.140625" style="68" customWidth="1"/>
    <col min="1034" max="1035" width="10.7109375" style="68" customWidth="1"/>
    <col min="1036" max="1280" width="10.7109375" style="68"/>
    <col min="1281" max="1281" width="7.140625" style="68" customWidth="1"/>
    <col min="1282" max="1282" width="13.28515625" style="68" customWidth="1"/>
    <col min="1283" max="1283" width="15.28515625" style="68" customWidth="1"/>
    <col min="1284" max="1284" width="3.28515625" style="68" customWidth="1"/>
    <col min="1285" max="1285" width="13.7109375" style="68" customWidth="1"/>
    <col min="1286" max="1286" width="10.7109375" style="68" customWidth="1"/>
    <col min="1287" max="1287" width="6.28515625" style="68" customWidth="1"/>
    <col min="1288" max="1288" width="17.85546875" style="68" customWidth="1"/>
    <col min="1289" max="1289" width="11.140625" style="68" customWidth="1"/>
    <col min="1290" max="1291" width="10.7109375" style="68" customWidth="1"/>
    <col min="1292" max="1536" width="10.7109375" style="68"/>
    <col min="1537" max="1537" width="7.140625" style="68" customWidth="1"/>
    <col min="1538" max="1538" width="13.28515625" style="68" customWidth="1"/>
    <col min="1539" max="1539" width="15.28515625" style="68" customWidth="1"/>
    <col min="1540" max="1540" width="3.28515625" style="68" customWidth="1"/>
    <col min="1541" max="1541" width="13.7109375" style="68" customWidth="1"/>
    <col min="1542" max="1542" width="10.7109375" style="68" customWidth="1"/>
    <col min="1543" max="1543" width="6.28515625" style="68" customWidth="1"/>
    <col min="1544" max="1544" width="17.85546875" style="68" customWidth="1"/>
    <col min="1545" max="1545" width="11.140625" style="68" customWidth="1"/>
    <col min="1546" max="1547" width="10.7109375" style="68" customWidth="1"/>
    <col min="1548" max="1792" width="10.7109375" style="68"/>
    <col min="1793" max="1793" width="7.140625" style="68" customWidth="1"/>
    <col min="1794" max="1794" width="13.28515625" style="68" customWidth="1"/>
    <col min="1795" max="1795" width="15.28515625" style="68" customWidth="1"/>
    <col min="1796" max="1796" width="3.28515625" style="68" customWidth="1"/>
    <col min="1797" max="1797" width="13.7109375" style="68" customWidth="1"/>
    <col min="1798" max="1798" width="10.7109375" style="68" customWidth="1"/>
    <col min="1799" max="1799" width="6.28515625" style="68" customWidth="1"/>
    <col min="1800" max="1800" width="17.85546875" style="68" customWidth="1"/>
    <col min="1801" max="1801" width="11.140625" style="68" customWidth="1"/>
    <col min="1802" max="1803" width="10.7109375" style="68" customWidth="1"/>
    <col min="1804" max="2048" width="10.7109375" style="68"/>
    <col min="2049" max="2049" width="7.140625" style="68" customWidth="1"/>
    <col min="2050" max="2050" width="13.28515625" style="68" customWidth="1"/>
    <col min="2051" max="2051" width="15.28515625" style="68" customWidth="1"/>
    <col min="2052" max="2052" width="3.28515625" style="68" customWidth="1"/>
    <col min="2053" max="2053" width="13.7109375" style="68" customWidth="1"/>
    <col min="2054" max="2054" width="10.7109375" style="68" customWidth="1"/>
    <col min="2055" max="2055" width="6.28515625" style="68" customWidth="1"/>
    <col min="2056" max="2056" width="17.85546875" style="68" customWidth="1"/>
    <col min="2057" max="2057" width="11.140625" style="68" customWidth="1"/>
    <col min="2058" max="2059" width="10.7109375" style="68" customWidth="1"/>
    <col min="2060" max="2304" width="10.7109375" style="68"/>
    <col min="2305" max="2305" width="7.140625" style="68" customWidth="1"/>
    <col min="2306" max="2306" width="13.28515625" style="68" customWidth="1"/>
    <col min="2307" max="2307" width="15.28515625" style="68" customWidth="1"/>
    <col min="2308" max="2308" width="3.28515625" style="68" customWidth="1"/>
    <col min="2309" max="2309" width="13.7109375" style="68" customWidth="1"/>
    <col min="2310" max="2310" width="10.7109375" style="68" customWidth="1"/>
    <col min="2311" max="2311" width="6.28515625" style="68" customWidth="1"/>
    <col min="2312" max="2312" width="17.85546875" style="68" customWidth="1"/>
    <col min="2313" max="2313" width="11.140625" style="68" customWidth="1"/>
    <col min="2314" max="2315" width="10.7109375" style="68" customWidth="1"/>
    <col min="2316" max="2560" width="10.7109375" style="68"/>
    <col min="2561" max="2561" width="7.140625" style="68" customWidth="1"/>
    <col min="2562" max="2562" width="13.28515625" style="68" customWidth="1"/>
    <col min="2563" max="2563" width="15.28515625" style="68" customWidth="1"/>
    <col min="2564" max="2564" width="3.28515625" style="68" customWidth="1"/>
    <col min="2565" max="2565" width="13.7109375" style="68" customWidth="1"/>
    <col min="2566" max="2566" width="10.7109375" style="68" customWidth="1"/>
    <col min="2567" max="2567" width="6.28515625" style="68" customWidth="1"/>
    <col min="2568" max="2568" width="17.85546875" style="68" customWidth="1"/>
    <col min="2569" max="2569" width="11.140625" style="68" customWidth="1"/>
    <col min="2570" max="2571" width="10.7109375" style="68" customWidth="1"/>
    <col min="2572" max="2816" width="10.7109375" style="68"/>
    <col min="2817" max="2817" width="7.140625" style="68" customWidth="1"/>
    <col min="2818" max="2818" width="13.28515625" style="68" customWidth="1"/>
    <col min="2819" max="2819" width="15.28515625" style="68" customWidth="1"/>
    <col min="2820" max="2820" width="3.28515625" style="68" customWidth="1"/>
    <col min="2821" max="2821" width="13.7109375" style="68" customWidth="1"/>
    <col min="2822" max="2822" width="10.7109375" style="68" customWidth="1"/>
    <col min="2823" max="2823" width="6.28515625" style="68" customWidth="1"/>
    <col min="2824" max="2824" width="17.85546875" style="68" customWidth="1"/>
    <col min="2825" max="2825" width="11.140625" style="68" customWidth="1"/>
    <col min="2826" max="2827" width="10.7109375" style="68" customWidth="1"/>
    <col min="2828" max="3072" width="10.7109375" style="68"/>
    <col min="3073" max="3073" width="7.140625" style="68" customWidth="1"/>
    <col min="3074" max="3074" width="13.28515625" style="68" customWidth="1"/>
    <col min="3075" max="3075" width="15.28515625" style="68" customWidth="1"/>
    <col min="3076" max="3076" width="3.28515625" style="68" customWidth="1"/>
    <col min="3077" max="3077" width="13.7109375" style="68" customWidth="1"/>
    <col min="3078" max="3078" width="10.7109375" style="68" customWidth="1"/>
    <col min="3079" max="3079" width="6.28515625" style="68" customWidth="1"/>
    <col min="3080" max="3080" width="17.85546875" style="68" customWidth="1"/>
    <col min="3081" max="3081" width="11.140625" style="68" customWidth="1"/>
    <col min="3082" max="3083" width="10.7109375" style="68" customWidth="1"/>
    <col min="3084" max="3328" width="10.7109375" style="68"/>
    <col min="3329" max="3329" width="7.140625" style="68" customWidth="1"/>
    <col min="3330" max="3330" width="13.28515625" style="68" customWidth="1"/>
    <col min="3331" max="3331" width="15.28515625" style="68" customWidth="1"/>
    <col min="3332" max="3332" width="3.28515625" style="68" customWidth="1"/>
    <col min="3333" max="3333" width="13.7109375" style="68" customWidth="1"/>
    <col min="3334" max="3334" width="10.7109375" style="68" customWidth="1"/>
    <col min="3335" max="3335" width="6.28515625" style="68" customWidth="1"/>
    <col min="3336" max="3336" width="17.85546875" style="68" customWidth="1"/>
    <col min="3337" max="3337" width="11.140625" style="68" customWidth="1"/>
    <col min="3338" max="3339" width="10.7109375" style="68" customWidth="1"/>
    <col min="3340" max="3584" width="10.7109375" style="68"/>
    <col min="3585" max="3585" width="7.140625" style="68" customWidth="1"/>
    <col min="3586" max="3586" width="13.28515625" style="68" customWidth="1"/>
    <col min="3587" max="3587" width="15.28515625" style="68" customWidth="1"/>
    <col min="3588" max="3588" width="3.28515625" style="68" customWidth="1"/>
    <col min="3589" max="3589" width="13.7109375" style="68" customWidth="1"/>
    <col min="3590" max="3590" width="10.7109375" style="68" customWidth="1"/>
    <col min="3591" max="3591" width="6.28515625" style="68" customWidth="1"/>
    <col min="3592" max="3592" width="17.85546875" style="68" customWidth="1"/>
    <col min="3593" max="3593" width="11.140625" style="68" customWidth="1"/>
    <col min="3594" max="3595" width="10.7109375" style="68" customWidth="1"/>
    <col min="3596" max="3840" width="10.7109375" style="68"/>
    <col min="3841" max="3841" width="7.140625" style="68" customWidth="1"/>
    <col min="3842" max="3842" width="13.28515625" style="68" customWidth="1"/>
    <col min="3843" max="3843" width="15.28515625" style="68" customWidth="1"/>
    <col min="3844" max="3844" width="3.28515625" style="68" customWidth="1"/>
    <col min="3845" max="3845" width="13.7109375" style="68" customWidth="1"/>
    <col min="3846" max="3846" width="10.7109375" style="68" customWidth="1"/>
    <col min="3847" max="3847" width="6.28515625" style="68" customWidth="1"/>
    <col min="3848" max="3848" width="17.85546875" style="68" customWidth="1"/>
    <col min="3849" max="3849" width="11.140625" style="68" customWidth="1"/>
    <col min="3850" max="3851" width="10.7109375" style="68" customWidth="1"/>
    <col min="3852" max="4096" width="10.7109375" style="68"/>
    <col min="4097" max="4097" width="7.140625" style="68" customWidth="1"/>
    <col min="4098" max="4098" width="13.28515625" style="68" customWidth="1"/>
    <col min="4099" max="4099" width="15.28515625" style="68" customWidth="1"/>
    <col min="4100" max="4100" width="3.28515625" style="68" customWidth="1"/>
    <col min="4101" max="4101" width="13.7109375" style="68" customWidth="1"/>
    <col min="4102" max="4102" width="10.7109375" style="68" customWidth="1"/>
    <col min="4103" max="4103" width="6.28515625" style="68" customWidth="1"/>
    <col min="4104" max="4104" width="17.85546875" style="68" customWidth="1"/>
    <col min="4105" max="4105" width="11.140625" style="68" customWidth="1"/>
    <col min="4106" max="4107" width="10.7109375" style="68" customWidth="1"/>
    <col min="4108" max="4352" width="10.7109375" style="68"/>
    <col min="4353" max="4353" width="7.140625" style="68" customWidth="1"/>
    <col min="4354" max="4354" width="13.28515625" style="68" customWidth="1"/>
    <col min="4355" max="4355" width="15.28515625" style="68" customWidth="1"/>
    <col min="4356" max="4356" width="3.28515625" style="68" customWidth="1"/>
    <col min="4357" max="4357" width="13.7109375" style="68" customWidth="1"/>
    <col min="4358" max="4358" width="10.7109375" style="68" customWidth="1"/>
    <col min="4359" max="4359" width="6.28515625" style="68" customWidth="1"/>
    <col min="4360" max="4360" width="17.85546875" style="68" customWidth="1"/>
    <col min="4361" max="4361" width="11.140625" style="68" customWidth="1"/>
    <col min="4362" max="4363" width="10.7109375" style="68" customWidth="1"/>
    <col min="4364" max="4608" width="10.7109375" style="68"/>
    <col min="4609" max="4609" width="7.140625" style="68" customWidth="1"/>
    <col min="4610" max="4610" width="13.28515625" style="68" customWidth="1"/>
    <col min="4611" max="4611" width="15.28515625" style="68" customWidth="1"/>
    <col min="4612" max="4612" width="3.28515625" style="68" customWidth="1"/>
    <col min="4613" max="4613" width="13.7109375" style="68" customWidth="1"/>
    <col min="4614" max="4614" width="10.7109375" style="68" customWidth="1"/>
    <col min="4615" max="4615" width="6.28515625" style="68" customWidth="1"/>
    <col min="4616" max="4616" width="17.85546875" style="68" customWidth="1"/>
    <col min="4617" max="4617" width="11.140625" style="68" customWidth="1"/>
    <col min="4618" max="4619" width="10.7109375" style="68" customWidth="1"/>
    <col min="4620" max="4864" width="10.7109375" style="68"/>
    <col min="4865" max="4865" width="7.140625" style="68" customWidth="1"/>
    <col min="4866" max="4866" width="13.28515625" style="68" customWidth="1"/>
    <col min="4867" max="4867" width="15.28515625" style="68" customWidth="1"/>
    <col min="4868" max="4868" width="3.28515625" style="68" customWidth="1"/>
    <col min="4869" max="4869" width="13.7109375" style="68" customWidth="1"/>
    <col min="4870" max="4870" width="10.7109375" style="68" customWidth="1"/>
    <col min="4871" max="4871" width="6.28515625" style="68" customWidth="1"/>
    <col min="4872" max="4872" width="17.85546875" style="68" customWidth="1"/>
    <col min="4873" max="4873" width="11.140625" style="68" customWidth="1"/>
    <col min="4874" max="4875" width="10.7109375" style="68" customWidth="1"/>
    <col min="4876" max="5120" width="10.7109375" style="68"/>
    <col min="5121" max="5121" width="7.140625" style="68" customWidth="1"/>
    <col min="5122" max="5122" width="13.28515625" style="68" customWidth="1"/>
    <col min="5123" max="5123" width="15.28515625" style="68" customWidth="1"/>
    <col min="5124" max="5124" width="3.28515625" style="68" customWidth="1"/>
    <col min="5125" max="5125" width="13.7109375" style="68" customWidth="1"/>
    <col min="5126" max="5126" width="10.7109375" style="68" customWidth="1"/>
    <col min="5127" max="5127" width="6.28515625" style="68" customWidth="1"/>
    <col min="5128" max="5128" width="17.85546875" style="68" customWidth="1"/>
    <col min="5129" max="5129" width="11.140625" style="68" customWidth="1"/>
    <col min="5130" max="5131" width="10.7109375" style="68" customWidth="1"/>
    <col min="5132" max="5376" width="10.7109375" style="68"/>
    <col min="5377" max="5377" width="7.140625" style="68" customWidth="1"/>
    <col min="5378" max="5378" width="13.28515625" style="68" customWidth="1"/>
    <col min="5379" max="5379" width="15.28515625" style="68" customWidth="1"/>
    <col min="5380" max="5380" width="3.28515625" style="68" customWidth="1"/>
    <col min="5381" max="5381" width="13.7109375" style="68" customWidth="1"/>
    <col min="5382" max="5382" width="10.7109375" style="68" customWidth="1"/>
    <col min="5383" max="5383" width="6.28515625" style="68" customWidth="1"/>
    <col min="5384" max="5384" width="17.85546875" style="68" customWidth="1"/>
    <col min="5385" max="5385" width="11.140625" style="68" customWidth="1"/>
    <col min="5386" max="5387" width="10.7109375" style="68" customWidth="1"/>
    <col min="5388" max="5632" width="10.7109375" style="68"/>
    <col min="5633" max="5633" width="7.140625" style="68" customWidth="1"/>
    <col min="5634" max="5634" width="13.28515625" style="68" customWidth="1"/>
    <col min="5635" max="5635" width="15.28515625" style="68" customWidth="1"/>
    <col min="5636" max="5636" width="3.28515625" style="68" customWidth="1"/>
    <col min="5637" max="5637" width="13.7109375" style="68" customWidth="1"/>
    <col min="5638" max="5638" width="10.7109375" style="68" customWidth="1"/>
    <col min="5639" max="5639" width="6.28515625" style="68" customWidth="1"/>
    <col min="5640" max="5640" width="17.85546875" style="68" customWidth="1"/>
    <col min="5641" max="5641" width="11.140625" style="68" customWidth="1"/>
    <col min="5642" max="5643" width="10.7109375" style="68" customWidth="1"/>
    <col min="5644" max="5888" width="10.7109375" style="68"/>
    <col min="5889" max="5889" width="7.140625" style="68" customWidth="1"/>
    <col min="5890" max="5890" width="13.28515625" style="68" customWidth="1"/>
    <col min="5891" max="5891" width="15.28515625" style="68" customWidth="1"/>
    <col min="5892" max="5892" width="3.28515625" style="68" customWidth="1"/>
    <col min="5893" max="5893" width="13.7109375" style="68" customWidth="1"/>
    <col min="5894" max="5894" width="10.7109375" style="68" customWidth="1"/>
    <col min="5895" max="5895" width="6.28515625" style="68" customWidth="1"/>
    <col min="5896" max="5896" width="17.85546875" style="68" customWidth="1"/>
    <col min="5897" max="5897" width="11.140625" style="68" customWidth="1"/>
    <col min="5898" max="5899" width="10.7109375" style="68" customWidth="1"/>
    <col min="5900" max="6144" width="10.7109375" style="68"/>
    <col min="6145" max="6145" width="7.140625" style="68" customWidth="1"/>
    <col min="6146" max="6146" width="13.28515625" style="68" customWidth="1"/>
    <col min="6147" max="6147" width="15.28515625" style="68" customWidth="1"/>
    <col min="6148" max="6148" width="3.28515625" style="68" customWidth="1"/>
    <col min="6149" max="6149" width="13.7109375" style="68" customWidth="1"/>
    <col min="6150" max="6150" width="10.7109375" style="68" customWidth="1"/>
    <col min="6151" max="6151" width="6.28515625" style="68" customWidth="1"/>
    <col min="6152" max="6152" width="17.85546875" style="68" customWidth="1"/>
    <col min="6153" max="6153" width="11.140625" style="68" customWidth="1"/>
    <col min="6154" max="6155" width="10.7109375" style="68" customWidth="1"/>
    <col min="6156" max="6400" width="10.7109375" style="68"/>
    <col min="6401" max="6401" width="7.140625" style="68" customWidth="1"/>
    <col min="6402" max="6402" width="13.28515625" style="68" customWidth="1"/>
    <col min="6403" max="6403" width="15.28515625" style="68" customWidth="1"/>
    <col min="6404" max="6404" width="3.28515625" style="68" customWidth="1"/>
    <col min="6405" max="6405" width="13.7109375" style="68" customWidth="1"/>
    <col min="6406" max="6406" width="10.7109375" style="68" customWidth="1"/>
    <col min="6407" max="6407" width="6.28515625" style="68" customWidth="1"/>
    <col min="6408" max="6408" width="17.85546875" style="68" customWidth="1"/>
    <col min="6409" max="6409" width="11.140625" style="68" customWidth="1"/>
    <col min="6410" max="6411" width="10.7109375" style="68" customWidth="1"/>
    <col min="6412" max="6656" width="10.7109375" style="68"/>
    <col min="6657" max="6657" width="7.140625" style="68" customWidth="1"/>
    <col min="6658" max="6658" width="13.28515625" style="68" customWidth="1"/>
    <col min="6659" max="6659" width="15.28515625" style="68" customWidth="1"/>
    <col min="6660" max="6660" width="3.28515625" style="68" customWidth="1"/>
    <col min="6661" max="6661" width="13.7109375" style="68" customWidth="1"/>
    <col min="6662" max="6662" width="10.7109375" style="68" customWidth="1"/>
    <col min="6663" max="6663" width="6.28515625" style="68" customWidth="1"/>
    <col min="6664" max="6664" width="17.85546875" style="68" customWidth="1"/>
    <col min="6665" max="6665" width="11.140625" style="68" customWidth="1"/>
    <col min="6666" max="6667" width="10.7109375" style="68" customWidth="1"/>
    <col min="6668" max="6912" width="10.7109375" style="68"/>
    <col min="6913" max="6913" width="7.140625" style="68" customWidth="1"/>
    <col min="6914" max="6914" width="13.28515625" style="68" customWidth="1"/>
    <col min="6915" max="6915" width="15.28515625" style="68" customWidth="1"/>
    <col min="6916" max="6916" width="3.28515625" style="68" customWidth="1"/>
    <col min="6917" max="6917" width="13.7109375" style="68" customWidth="1"/>
    <col min="6918" max="6918" width="10.7109375" style="68" customWidth="1"/>
    <col min="6919" max="6919" width="6.28515625" style="68" customWidth="1"/>
    <col min="6920" max="6920" width="17.85546875" style="68" customWidth="1"/>
    <col min="6921" max="6921" width="11.140625" style="68" customWidth="1"/>
    <col min="6922" max="6923" width="10.7109375" style="68" customWidth="1"/>
    <col min="6924" max="7168" width="10.7109375" style="68"/>
    <col min="7169" max="7169" width="7.140625" style="68" customWidth="1"/>
    <col min="7170" max="7170" width="13.28515625" style="68" customWidth="1"/>
    <col min="7171" max="7171" width="15.28515625" style="68" customWidth="1"/>
    <col min="7172" max="7172" width="3.28515625" style="68" customWidth="1"/>
    <col min="7173" max="7173" width="13.7109375" style="68" customWidth="1"/>
    <col min="7174" max="7174" width="10.7109375" style="68" customWidth="1"/>
    <col min="7175" max="7175" width="6.28515625" style="68" customWidth="1"/>
    <col min="7176" max="7176" width="17.85546875" style="68" customWidth="1"/>
    <col min="7177" max="7177" width="11.140625" style="68" customWidth="1"/>
    <col min="7178" max="7179" width="10.7109375" style="68" customWidth="1"/>
    <col min="7180" max="7424" width="10.7109375" style="68"/>
    <col min="7425" max="7425" width="7.140625" style="68" customWidth="1"/>
    <col min="7426" max="7426" width="13.28515625" style="68" customWidth="1"/>
    <col min="7427" max="7427" width="15.28515625" style="68" customWidth="1"/>
    <col min="7428" max="7428" width="3.28515625" style="68" customWidth="1"/>
    <col min="7429" max="7429" width="13.7109375" style="68" customWidth="1"/>
    <col min="7430" max="7430" width="10.7109375" style="68" customWidth="1"/>
    <col min="7431" max="7431" width="6.28515625" style="68" customWidth="1"/>
    <col min="7432" max="7432" width="17.85546875" style="68" customWidth="1"/>
    <col min="7433" max="7433" width="11.140625" style="68" customWidth="1"/>
    <col min="7434" max="7435" width="10.7109375" style="68" customWidth="1"/>
    <col min="7436" max="7680" width="10.7109375" style="68"/>
    <col min="7681" max="7681" width="7.140625" style="68" customWidth="1"/>
    <col min="7682" max="7682" width="13.28515625" style="68" customWidth="1"/>
    <col min="7683" max="7683" width="15.28515625" style="68" customWidth="1"/>
    <col min="7684" max="7684" width="3.28515625" style="68" customWidth="1"/>
    <col min="7685" max="7685" width="13.7109375" style="68" customWidth="1"/>
    <col min="7686" max="7686" width="10.7109375" style="68" customWidth="1"/>
    <col min="7687" max="7687" width="6.28515625" style="68" customWidth="1"/>
    <col min="7688" max="7688" width="17.85546875" style="68" customWidth="1"/>
    <col min="7689" max="7689" width="11.140625" style="68" customWidth="1"/>
    <col min="7690" max="7691" width="10.7109375" style="68" customWidth="1"/>
    <col min="7692" max="7936" width="10.7109375" style="68"/>
    <col min="7937" max="7937" width="7.140625" style="68" customWidth="1"/>
    <col min="7938" max="7938" width="13.28515625" style="68" customWidth="1"/>
    <col min="7939" max="7939" width="15.28515625" style="68" customWidth="1"/>
    <col min="7940" max="7940" width="3.28515625" style="68" customWidth="1"/>
    <col min="7941" max="7941" width="13.7109375" style="68" customWidth="1"/>
    <col min="7942" max="7942" width="10.7109375" style="68" customWidth="1"/>
    <col min="7943" max="7943" width="6.28515625" style="68" customWidth="1"/>
    <col min="7944" max="7944" width="17.85546875" style="68" customWidth="1"/>
    <col min="7945" max="7945" width="11.140625" style="68" customWidth="1"/>
    <col min="7946" max="7947" width="10.7109375" style="68" customWidth="1"/>
    <col min="7948" max="8192" width="10.7109375" style="68"/>
    <col min="8193" max="8193" width="7.140625" style="68" customWidth="1"/>
    <col min="8194" max="8194" width="13.28515625" style="68" customWidth="1"/>
    <col min="8195" max="8195" width="15.28515625" style="68" customWidth="1"/>
    <col min="8196" max="8196" width="3.28515625" style="68" customWidth="1"/>
    <col min="8197" max="8197" width="13.7109375" style="68" customWidth="1"/>
    <col min="8198" max="8198" width="10.7109375" style="68" customWidth="1"/>
    <col min="8199" max="8199" width="6.28515625" style="68" customWidth="1"/>
    <col min="8200" max="8200" width="17.85546875" style="68" customWidth="1"/>
    <col min="8201" max="8201" width="11.140625" style="68" customWidth="1"/>
    <col min="8202" max="8203" width="10.7109375" style="68" customWidth="1"/>
    <col min="8204" max="8448" width="10.7109375" style="68"/>
    <col min="8449" max="8449" width="7.140625" style="68" customWidth="1"/>
    <col min="8450" max="8450" width="13.28515625" style="68" customWidth="1"/>
    <col min="8451" max="8451" width="15.28515625" style="68" customWidth="1"/>
    <col min="8452" max="8452" width="3.28515625" style="68" customWidth="1"/>
    <col min="8453" max="8453" width="13.7109375" style="68" customWidth="1"/>
    <col min="8454" max="8454" width="10.7109375" style="68" customWidth="1"/>
    <col min="8455" max="8455" width="6.28515625" style="68" customWidth="1"/>
    <col min="8456" max="8456" width="17.85546875" style="68" customWidth="1"/>
    <col min="8457" max="8457" width="11.140625" style="68" customWidth="1"/>
    <col min="8458" max="8459" width="10.7109375" style="68" customWidth="1"/>
    <col min="8460" max="8704" width="10.7109375" style="68"/>
    <col min="8705" max="8705" width="7.140625" style="68" customWidth="1"/>
    <col min="8706" max="8706" width="13.28515625" style="68" customWidth="1"/>
    <col min="8707" max="8707" width="15.28515625" style="68" customWidth="1"/>
    <col min="8708" max="8708" width="3.28515625" style="68" customWidth="1"/>
    <col min="8709" max="8709" width="13.7109375" style="68" customWidth="1"/>
    <col min="8710" max="8710" width="10.7109375" style="68" customWidth="1"/>
    <col min="8711" max="8711" width="6.28515625" style="68" customWidth="1"/>
    <col min="8712" max="8712" width="17.85546875" style="68" customWidth="1"/>
    <col min="8713" max="8713" width="11.140625" style="68" customWidth="1"/>
    <col min="8714" max="8715" width="10.7109375" style="68" customWidth="1"/>
    <col min="8716" max="8960" width="10.7109375" style="68"/>
    <col min="8961" max="8961" width="7.140625" style="68" customWidth="1"/>
    <col min="8962" max="8962" width="13.28515625" style="68" customWidth="1"/>
    <col min="8963" max="8963" width="15.28515625" style="68" customWidth="1"/>
    <col min="8964" max="8964" width="3.28515625" style="68" customWidth="1"/>
    <col min="8965" max="8965" width="13.7109375" style="68" customWidth="1"/>
    <col min="8966" max="8966" width="10.7109375" style="68" customWidth="1"/>
    <col min="8967" max="8967" width="6.28515625" style="68" customWidth="1"/>
    <col min="8968" max="8968" width="17.85546875" style="68" customWidth="1"/>
    <col min="8969" max="8969" width="11.140625" style="68" customWidth="1"/>
    <col min="8970" max="8971" width="10.7109375" style="68" customWidth="1"/>
    <col min="8972" max="9216" width="10.7109375" style="68"/>
    <col min="9217" max="9217" width="7.140625" style="68" customWidth="1"/>
    <col min="9218" max="9218" width="13.28515625" style="68" customWidth="1"/>
    <col min="9219" max="9219" width="15.28515625" style="68" customWidth="1"/>
    <col min="9220" max="9220" width="3.28515625" style="68" customWidth="1"/>
    <col min="9221" max="9221" width="13.7109375" style="68" customWidth="1"/>
    <col min="9222" max="9222" width="10.7109375" style="68" customWidth="1"/>
    <col min="9223" max="9223" width="6.28515625" style="68" customWidth="1"/>
    <col min="9224" max="9224" width="17.85546875" style="68" customWidth="1"/>
    <col min="9225" max="9225" width="11.140625" style="68" customWidth="1"/>
    <col min="9226" max="9227" width="10.7109375" style="68" customWidth="1"/>
    <col min="9228" max="9472" width="10.7109375" style="68"/>
    <col min="9473" max="9473" width="7.140625" style="68" customWidth="1"/>
    <col min="9474" max="9474" width="13.28515625" style="68" customWidth="1"/>
    <col min="9475" max="9475" width="15.28515625" style="68" customWidth="1"/>
    <col min="9476" max="9476" width="3.28515625" style="68" customWidth="1"/>
    <col min="9477" max="9477" width="13.7109375" style="68" customWidth="1"/>
    <col min="9478" max="9478" width="10.7109375" style="68" customWidth="1"/>
    <col min="9479" max="9479" width="6.28515625" style="68" customWidth="1"/>
    <col min="9480" max="9480" width="17.85546875" style="68" customWidth="1"/>
    <col min="9481" max="9481" width="11.140625" style="68" customWidth="1"/>
    <col min="9482" max="9483" width="10.7109375" style="68" customWidth="1"/>
    <col min="9484" max="9728" width="10.7109375" style="68"/>
    <col min="9729" max="9729" width="7.140625" style="68" customWidth="1"/>
    <col min="9730" max="9730" width="13.28515625" style="68" customWidth="1"/>
    <col min="9731" max="9731" width="15.28515625" style="68" customWidth="1"/>
    <col min="9732" max="9732" width="3.28515625" style="68" customWidth="1"/>
    <col min="9733" max="9733" width="13.7109375" style="68" customWidth="1"/>
    <col min="9734" max="9734" width="10.7109375" style="68" customWidth="1"/>
    <col min="9735" max="9735" width="6.28515625" style="68" customWidth="1"/>
    <col min="9736" max="9736" width="17.85546875" style="68" customWidth="1"/>
    <col min="9737" max="9737" width="11.140625" style="68" customWidth="1"/>
    <col min="9738" max="9739" width="10.7109375" style="68" customWidth="1"/>
    <col min="9740" max="9984" width="10.7109375" style="68"/>
    <col min="9985" max="9985" width="7.140625" style="68" customWidth="1"/>
    <col min="9986" max="9986" width="13.28515625" style="68" customWidth="1"/>
    <col min="9987" max="9987" width="15.28515625" style="68" customWidth="1"/>
    <col min="9988" max="9988" width="3.28515625" style="68" customWidth="1"/>
    <col min="9989" max="9989" width="13.7109375" style="68" customWidth="1"/>
    <col min="9990" max="9990" width="10.7109375" style="68" customWidth="1"/>
    <col min="9991" max="9991" width="6.28515625" style="68" customWidth="1"/>
    <col min="9992" max="9992" width="17.85546875" style="68" customWidth="1"/>
    <col min="9993" max="9993" width="11.140625" style="68" customWidth="1"/>
    <col min="9994" max="9995" width="10.7109375" style="68" customWidth="1"/>
    <col min="9996" max="10240" width="10.7109375" style="68"/>
    <col min="10241" max="10241" width="7.140625" style="68" customWidth="1"/>
    <col min="10242" max="10242" width="13.28515625" style="68" customWidth="1"/>
    <col min="10243" max="10243" width="15.28515625" style="68" customWidth="1"/>
    <col min="10244" max="10244" width="3.28515625" style="68" customWidth="1"/>
    <col min="10245" max="10245" width="13.7109375" style="68" customWidth="1"/>
    <col min="10246" max="10246" width="10.7109375" style="68" customWidth="1"/>
    <col min="10247" max="10247" width="6.28515625" style="68" customWidth="1"/>
    <col min="10248" max="10248" width="17.85546875" style="68" customWidth="1"/>
    <col min="10249" max="10249" width="11.140625" style="68" customWidth="1"/>
    <col min="10250" max="10251" width="10.7109375" style="68" customWidth="1"/>
    <col min="10252" max="10496" width="10.7109375" style="68"/>
    <col min="10497" max="10497" width="7.140625" style="68" customWidth="1"/>
    <col min="10498" max="10498" width="13.28515625" style="68" customWidth="1"/>
    <col min="10499" max="10499" width="15.28515625" style="68" customWidth="1"/>
    <col min="10500" max="10500" width="3.28515625" style="68" customWidth="1"/>
    <col min="10501" max="10501" width="13.7109375" style="68" customWidth="1"/>
    <col min="10502" max="10502" width="10.7109375" style="68" customWidth="1"/>
    <col min="10503" max="10503" width="6.28515625" style="68" customWidth="1"/>
    <col min="10504" max="10504" width="17.85546875" style="68" customWidth="1"/>
    <col min="10505" max="10505" width="11.140625" style="68" customWidth="1"/>
    <col min="10506" max="10507" width="10.7109375" style="68" customWidth="1"/>
    <col min="10508" max="10752" width="10.7109375" style="68"/>
    <col min="10753" max="10753" width="7.140625" style="68" customWidth="1"/>
    <col min="10754" max="10754" width="13.28515625" style="68" customWidth="1"/>
    <col min="10755" max="10755" width="15.28515625" style="68" customWidth="1"/>
    <col min="10756" max="10756" width="3.28515625" style="68" customWidth="1"/>
    <col min="10757" max="10757" width="13.7109375" style="68" customWidth="1"/>
    <col min="10758" max="10758" width="10.7109375" style="68" customWidth="1"/>
    <col min="10759" max="10759" width="6.28515625" style="68" customWidth="1"/>
    <col min="10760" max="10760" width="17.85546875" style="68" customWidth="1"/>
    <col min="10761" max="10761" width="11.140625" style="68" customWidth="1"/>
    <col min="10762" max="10763" width="10.7109375" style="68" customWidth="1"/>
    <col min="10764" max="11008" width="10.7109375" style="68"/>
    <col min="11009" max="11009" width="7.140625" style="68" customWidth="1"/>
    <col min="11010" max="11010" width="13.28515625" style="68" customWidth="1"/>
    <col min="11011" max="11011" width="15.28515625" style="68" customWidth="1"/>
    <col min="11012" max="11012" width="3.28515625" style="68" customWidth="1"/>
    <col min="11013" max="11013" width="13.7109375" style="68" customWidth="1"/>
    <col min="11014" max="11014" width="10.7109375" style="68" customWidth="1"/>
    <col min="11015" max="11015" width="6.28515625" style="68" customWidth="1"/>
    <col min="11016" max="11016" width="17.85546875" style="68" customWidth="1"/>
    <col min="11017" max="11017" width="11.140625" style="68" customWidth="1"/>
    <col min="11018" max="11019" width="10.7109375" style="68" customWidth="1"/>
    <col min="11020" max="11264" width="10.7109375" style="68"/>
    <col min="11265" max="11265" width="7.140625" style="68" customWidth="1"/>
    <col min="11266" max="11266" width="13.28515625" style="68" customWidth="1"/>
    <col min="11267" max="11267" width="15.28515625" style="68" customWidth="1"/>
    <col min="11268" max="11268" width="3.28515625" style="68" customWidth="1"/>
    <col min="11269" max="11269" width="13.7109375" style="68" customWidth="1"/>
    <col min="11270" max="11270" width="10.7109375" style="68" customWidth="1"/>
    <col min="11271" max="11271" width="6.28515625" style="68" customWidth="1"/>
    <col min="11272" max="11272" width="17.85546875" style="68" customWidth="1"/>
    <col min="11273" max="11273" width="11.140625" style="68" customWidth="1"/>
    <col min="11274" max="11275" width="10.7109375" style="68" customWidth="1"/>
    <col min="11276" max="11520" width="10.7109375" style="68"/>
    <col min="11521" max="11521" width="7.140625" style="68" customWidth="1"/>
    <col min="11522" max="11522" width="13.28515625" style="68" customWidth="1"/>
    <col min="11523" max="11523" width="15.28515625" style="68" customWidth="1"/>
    <col min="11524" max="11524" width="3.28515625" style="68" customWidth="1"/>
    <col min="11525" max="11525" width="13.7109375" style="68" customWidth="1"/>
    <col min="11526" max="11526" width="10.7109375" style="68" customWidth="1"/>
    <col min="11527" max="11527" width="6.28515625" style="68" customWidth="1"/>
    <col min="11528" max="11528" width="17.85546875" style="68" customWidth="1"/>
    <col min="11529" max="11529" width="11.140625" style="68" customWidth="1"/>
    <col min="11530" max="11531" width="10.7109375" style="68" customWidth="1"/>
    <col min="11532" max="11776" width="10.7109375" style="68"/>
    <col min="11777" max="11777" width="7.140625" style="68" customWidth="1"/>
    <col min="11778" max="11778" width="13.28515625" style="68" customWidth="1"/>
    <col min="11779" max="11779" width="15.28515625" style="68" customWidth="1"/>
    <col min="11780" max="11780" width="3.28515625" style="68" customWidth="1"/>
    <col min="11781" max="11781" width="13.7109375" style="68" customWidth="1"/>
    <col min="11782" max="11782" width="10.7109375" style="68" customWidth="1"/>
    <col min="11783" max="11783" width="6.28515625" style="68" customWidth="1"/>
    <col min="11784" max="11784" width="17.85546875" style="68" customWidth="1"/>
    <col min="11785" max="11785" width="11.140625" style="68" customWidth="1"/>
    <col min="11786" max="11787" width="10.7109375" style="68" customWidth="1"/>
    <col min="11788" max="12032" width="10.7109375" style="68"/>
    <col min="12033" max="12033" width="7.140625" style="68" customWidth="1"/>
    <col min="12034" max="12034" width="13.28515625" style="68" customWidth="1"/>
    <col min="12035" max="12035" width="15.28515625" style="68" customWidth="1"/>
    <col min="12036" max="12036" width="3.28515625" style="68" customWidth="1"/>
    <col min="12037" max="12037" width="13.7109375" style="68" customWidth="1"/>
    <col min="12038" max="12038" width="10.7109375" style="68" customWidth="1"/>
    <col min="12039" max="12039" width="6.28515625" style="68" customWidth="1"/>
    <col min="12040" max="12040" width="17.85546875" style="68" customWidth="1"/>
    <col min="12041" max="12041" width="11.140625" style="68" customWidth="1"/>
    <col min="12042" max="12043" width="10.7109375" style="68" customWidth="1"/>
    <col min="12044" max="12288" width="10.7109375" style="68"/>
    <col min="12289" max="12289" width="7.140625" style="68" customWidth="1"/>
    <col min="12290" max="12290" width="13.28515625" style="68" customWidth="1"/>
    <col min="12291" max="12291" width="15.28515625" style="68" customWidth="1"/>
    <col min="12292" max="12292" width="3.28515625" style="68" customWidth="1"/>
    <col min="12293" max="12293" width="13.7109375" style="68" customWidth="1"/>
    <col min="12294" max="12294" width="10.7109375" style="68" customWidth="1"/>
    <col min="12295" max="12295" width="6.28515625" style="68" customWidth="1"/>
    <col min="12296" max="12296" width="17.85546875" style="68" customWidth="1"/>
    <col min="12297" max="12297" width="11.140625" style="68" customWidth="1"/>
    <col min="12298" max="12299" width="10.7109375" style="68" customWidth="1"/>
    <col min="12300" max="12544" width="10.7109375" style="68"/>
    <col min="12545" max="12545" width="7.140625" style="68" customWidth="1"/>
    <col min="12546" max="12546" width="13.28515625" style="68" customWidth="1"/>
    <col min="12547" max="12547" width="15.28515625" style="68" customWidth="1"/>
    <col min="12548" max="12548" width="3.28515625" style="68" customWidth="1"/>
    <col min="12549" max="12549" width="13.7109375" style="68" customWidth="1"/>
    <col min="12550" max="12550" width="10.7109375" style="68" customWidth="1"/>
    <col min="12551" max="12551" width="6.28515625" style="68" customWidth="1"/>
    <col min="12552" max="12552" width="17.85546875" style="68" customWidth="1"/>
    <col min="12553" max="12553" width="11.140625" style="68" customWidth="1"/>
    <col min="12554" max="12555" width="10.7109375" style="68" customWidth="1"/>
    <col min="12556" max="12800" width="10.7109375" style="68"/>
    <col min="12801" max="12801" width="7.140625" style="68" customWidth="1"/>
    <col min="12802" max="12802" width="13.28515625" style="68" customWidth="1"/>
    <col min="12803" max="12803" width="15.28515625" style="68" customWidth="1"/>
    <col min="12804" max="12804" width="3.28515625" style="68" customWidth="1"/>
    <col min="12805" max="12805" width="13.7109375" style="68" customWidth="1"/>
    <col min="12806" max="12806" width="10.7109375" style="68" customWidth="1"/>
    <col min="12807" max="12807" width="6.28515625" style="68" customWidth="1"/>
    <col min="12808" max="12808" width="17.85546875" style="68" customWidth="1"/>
    <col min="12809" max="12809" width="11.140625" style="68" customWidth="1"/>
    <col min="12810" max="12811" width="10.7109375" style="68" customWidth="1"/>
    <col min="12812" max="13056" width="10.7109375" style="68"/>
    <col min="13057" max="13057" width="7.140625" style="68" customWidth="1"/>
    <col min="13058" max="13058" width="13.28515625" style="68" customWidth="1"/>
    <col min="13059" max="13059" width="15.28515625" style="68" customWidth="1"/>
    <col min="13060" max="13060" width="3.28515625" style="68" customWidth="1"/>
    <col min="13061" max="13061" width="13.7109375" style="68" customWidth="1"/>
    <col min="13062" max="13062" width="10.7109375" style="68" customWidth="1"/>
    <col min="13063" max="13063" width="6.28515625" style="68" customWidth="1"/>
    <col min="13064" max="13064" width="17.85546875" style="68" customWidth="1"/>
    <col min="13065" max="13065" width="11.140625" style="68" customWidth="1"/>
    <col min="13066" max="13067" width="10.7109375" style="68" customWidth="1"/>
    <col min="13068" max="13312" width="10.7109375" style="68"/>
    <col min="13313" max="13313" width="7.140625" style="68" customWidth="1"/>
    <col min="13314" max="13314" width="13.28515625" style="68" customWidth="1"/>
    <col min="13315" max="13315" width="15.28515625" style="68" customWidth="1"/>
    <col min="13316" max="13316" width="3.28515625" style="68" customWidth="1"/>
    <col min="13317" max="13317" width="13.7109375" style="68" customWidth="1"/>
    <col min="13318" max="13318" width="10.7109375" style="68" customWidth="1"/>
    <col min="13319" max="13319" width="6.28515625" style="68" customWidth="1"/>
    <col min="13320" max="13320" width="17.85546875" style="68" customWidth="1"/>
    <col min="13321" max="13321" width="11.140625" style="68" customWidth="1"/>
    <col min="13322" max="13323" width="10.7109375" style="68" customWidth="1"/>
    <col min="13324" max="13568" width="10.7109375" style="68"/>
    <col min="13569" max="13569" width="7.140625" style="68" customWidth="1"/>
    <col min="13570" max="13570" width="13.28515625" style="68" customWidth="1"/>
    <col min="13571" max="13571" width="15.28515625" style="68" customWidth="1"/>
    <col min="13572" max="13572" width="3.28515625" style="68" customWidth="1"/>
    <col min="13573" max="13573" width="13.7109375" style="68" customWidth="1"/>
    <col min="13574" max="13574" width="10.7109375" style="68" customWidth="1"/>
    <col min="13575" max="13575" width="6.28515625" style="68" customWidth="1"/>
    <col min="13576" max="13576" width="17.85546875" style="68" customWidth="1"/>
    <col min="13577" max="13577" width="11.140625" style="68" customWidth="1"/>
    <col min="13578" max="13579" width="10.7109375" style="68" customWidth="1"/>
    <col min="13580" max="13824" width="10.7109375" style="68"/>
    <col min="13825" max="13825" width="7.140625" style="68" customWidth="1"/>
    <col min="13826" max="13826" width="13.28515625" style="68" customWidth="1"/>
    <col min="13827" max="13827" width="15.28515625" style="68" customWidth="1"/>
    <col min="13828" max="13828" width="3.28515625" style="68" customWidth="1"/>
    <col min="13829" max="13829" width="13.7109375" style="68" customWidth="1"/>
    <col min="13830" max="13830" width="10.7109375" style="68" customWidth="1"/>
    <col min="13831" max="13831" width="6.28515625" style="68" customWidth="1"/>
    <col min="13832" max="13832" width="17.85546875" style="68" customWidth="1"/>
    <col min="13833" max="13833" width="11.140625" style="68" customWidth="1"/>
    <col min="13834" max="13835" width="10.7109375" style="68" customWidth="1"/>
    <col min="13836" max="14080" width="10.7109375" style="68"/>
    <col min="14081" max="14081" width="7.140625" style="68" customWidth="1"/>
    <col min="14082" max="14082" width="13.28515625" style="68" customWidth="1"/>
    <col min="14083" max="14083" width="15.28515625" style="68" customWidth="1"/>
    <col min="14084" max="14084" width="3.28515625" style="68" customWidth="1"/>
    <col min="14085" max="14085" width="13.7109375" style="68" customWidth="1"/>
    <col min="14086" max="14086" width="10.7109375" style="68" customWidth="1"/>
    <col min="14087" max="14087" width="6.28515625" style="68" customWidth="1"/>
    <col min="14088" max="14088" width="17.85546875" style="68" customWidth="1"/>
    <col min="14089" max="14089" width="11.140625" style="68" customWidth="1"/>
    <col min="14090" max="14091" width="10.7109375" style="68" customWidth="1"/>
    <col min="14092" max="14336" width="10.7109375" style="68"/>
    <col min="14337" max="14337" width="7.140625" style="68" customWidth="1"/>
    <col min="14338" max="14338" width="13.28515625" style="68" customWidth="1"/>
    <col min="14339" max="14339" width="15.28515625" style="68" customWidth="1"/>
    <col min="14340" max="14340" width="3.28515625" style="68" customWidth="1"/>
    <col min="14341" max="14341" width="13.7109375" style="68" customWidth="1"/>
    <col min="14342" max="14342" width="10.7109375" style="68" customWidth="1"/>
    <col min="14343" max="14343" width="6.28515625" style="68" customWidth="1"/>
    <col min="14344" max="14344" width="17.85546875" style="68" customWidth="1"/>
    <col min="14345" max="14345" width="11.140625" style="68" customWidth="1"/>
    <col min="14346" max="14347" width="10.7109375" style="68" customWidth="1"/>
    <col min="14348" max="14592" width="10.7109375" style="68"/>
    <col min="14593" max="14593" width="7.140625" style="68" customWidth="1"/>
    <col min="14594" max="14594" width="13.28515625" style="68" customWidth="1"/>
    <col min="14595" max="14595" width="15.28515625" style="68" customWidth="1"/>
    <col min="14596" max="14596" width="3.28515625" style="68" customWidth="1"/>
    <col min="14597" max="14597" width="13.7109375" style="68" customWidth="1"/>
    <col min="14598" max="14598" width="10.7109375" style="68" customWidth="1"/>
    <col min="14599" max="14599" width="6.28515625" style="68" customWidth="1"/>
    <col min="14600" max="14600" width="17.85546875" style="68" customWidth="1"/>
    <col min="14601" max="14601" width="11.140625" style="68" customWidth="1"/>
    <col min="14602" max="14603" width="10.7109375" style="68" customWidth="1"/>
    <col min="14604" max="14848" width="10.7109375" style="68"/>
    <col min="14849" max="14849" width="7.140625" style="68" customWidth="1"/>
    <col min="14850" max="14850" width="13.28515625" style="68" customWidth="1"/>
    <col min="14851" max="14851" width="15.28515625" style="68" customWidth="1"/>
    <col min="14852" max="14852" width="3.28515625" style="68" customWidth="1"/>
    <col min="14853" max="14853" width="13.7109375" style="68" customWidth="1"/>
    <col min="14854" max="14854" width="10.7109375" style="68" customWidth="1"/>
    <col min="14855" max="14855" width="6.28515625" style="68" customWidth="1"/>
    <col min="14856" max="14856" width="17.85546875" style="68" customWidth="1"/>
    <col min="14857" max="14857" width="11.140625" style="68" customWidth="1"/>
    <col min="14858" max="14859" width="10.7109375" style="68" customWidth="1"/>
    <col min="14860" max="15104" width="10.7109375" style="68"/>
    <col min="15105" max="15105" width="7.140625" style="68" customWidth="1"/>
    <col min="15106" max="15106" width="13.28515625" style="68" customWidth="1"/>
    <col min="15107" max="15107" width="15.28515625" style="68" customWidth="1"/>
    <col min="15108" max="15108" width="3.28515625" style="68" customWidth="1"/>
    <col min="15109" max="15109" width="13.7109375" style="68" customWidth="1"/>
    <col min="15110" max="15110" width="10.7109375" style="68" customWidth="1"/>
    <col min="15111" max="15111" width="6.28515625" style="68" customWidth="1"/>
    <col min="15112" max="15112" width="17.85546875" style="68" customWidth="1"/>
    <col min="15113" max="15113" width="11.140625" style="68" customWidth="1"/>
    <col min="15114" max="15115" width="10.7109375" style="68" customWidth="1"/>
    <col min="15116" max="15360" width="10.7109375" style="68"/>
    <col min="15361" max="15361" width="7.140625" style="68" customWidth="1"/>
    <col min="15362" max="15362" width="13.28515625" style="68" customWidth="1"/>
    <col min="15363" max="15363" width="15.28515625" style="68" customWidth="1"/>
    <col min="15364" max="15364" width="3.28515625" style="68" customWidth="1"/>
    <col min="15365" max="15365" width="13.7109375" style="68" customWidth="1"/>
    <col min="15366" max="15366" width="10.7109375" style="68" customWidth="1"/>
    <col min="15367" max="15367" width="6.28515625" style="68" customWidth="1"/>
    <col min="15368" max="15368" width="17.85546875" style="68" customWidth="1"/>
    <col min="15369" max="15369" width="11.140625" style="68" customWidth="1"/>
    <col min="15370" max="15371" width="10.7109375" style="68" customWidth="1"/>
    <col min="15372" max="15616" width="10.7109375" style="68"/>
    <col min="15617" max="15617" width="7.140625" style="68" customWidth="1"/>
    <col min="15618" max="15618" width="13.28515625" style="68" customWidth="1"/>
    <col min="15619" max="15619" width="15.28515625" style="68" customWidth="1"/>
    <col min="15620" max="15620" width="3.28515625" style="68" customWidth="1"/>
    <col min="15621" max="15621" width="13.7109375" style="68" customWidth="1"/>
    <col min="15622" max="15622" width="10.7109375" style="68" customWidth="1"/>
    <col min="15623" max="15623" width="6.28515625" style="68" customWidth="1"/>
    <col min="15624" max="15624" width="17.85546875" style="68" customWidth="1"/>
    <col min="15625" max="15625" width="11.140625" style="68" customWidth="1"/>
    <col min="15626" max="15627" width="10.7109375" style="68" customWidth="1"/>
    <col min="15628" max="15872" width="10.7109375" style="68"/>
    <col min="15873" max="15873" width="7.140625" style="68" customWidth="1"/>
    <col min="15874" max="15874" width="13.28515625" style="68" customWidth="1"/>
    <col min="15875" max="15875" width="15.28515625" style="68" customWidth="1"/>
    <col min="15876" max="15876" width="3.28515625" style="68" customWidth="1"/>
    <col min="15877" max="15877" width="13.7109375" style="68" customWidth="1"/>
    <col min="15878" max="15878" width="10.7109375" style="68" customWidth="1"/>
    <col min="15879" max="15879" width="6.28515625" style="68" customWidth="1"/>
    <col min="15880" max="15880" width="17.85546875" style="68" customWidth="1"/>
    <col min="15881" max="15881" width="11.140625" style="68" customWidth="1"/>
    <col min="15882" max="15883" width="10.7109375" style="68" customWidth="1"/>
    <col min="15884" max="16128" width="10.7109375" style="68"/>
    <col min="16129" max="16129" width="7.140625" style="68" customWidth="1"/>
    <col min="16130" max="16130" width="13.28515625" style="68" customWidth="1"/>
    <col min="16131" max="16131" width="15.28515625" style="68" customWidth="1"/>
    <col min="16132" max="16132" width="3.28515625" style="68" customWidth="1"/>
    <col min="16133" max="16133" width="13.7109375" style="68" customWidth="1"/>
    <col min="16134" max="16134" width="10.7109375" style="68" customWidth="1"/>
    <col min="16135" max="16135" width="6.28515625" style="68" customWidth="1"/>
    <col min="16136" max="16136" width="17.85546875" style="68" customWidth="1"/>
    <col min="16137" max="16137" width="11.140625" style="68" customWidth="1"/>
    <col min="16138" max="16139" width="10.7109375" style="68" customWidth="1"/>
    <col min="16140" max="16384" width="10.7109375" style="68"/>
  </cols>
  <sheetData>
    <row r="1" spans="1:194" s="50" customFormat="1" ht="21.75" hidden="1" customHeight="1" outlineLevel="1" x14ac:dyDescent="0.25">
      <c r="A1" s="50" t="s">
        <v>17</v>
      </c>
      <c r="B1" s="51" t="e">
        <f>CONCATENATE(A99,"  ",A101)</f>
        <v>#REF!</v>
      </c>
      <c r="C1" s="51"/>
      <c r="D1" s="51"/>
      <c r="E1" s="51"/>
      <c r="F1" s="51"/>
      <c r="G1" s="51"/>
      <c r="H1" s="51"/>
      <c r="I1" s="51"/>
      <c r="J1" s="52"/>
    </row>
    <row r="2" spans="1:194" s="50" customFormat="1" ht="15.2" hidden="1" customHeight="1" outlineLevel="1" collapsed="1" x14ac:dyDescent="0.25">
      <c r="A2" s="50" t="s">
        <v>85</v>
      </c>
      <c r="C2" s="53"/>
      <c r="E2" s="54" t="s">
        <v>86</v>
      </c>
      <c r="H2" s="55"/>
      <c r="J2" s="52"/>
    </row>
    <row r="3" spans="1:194" s="56" customFormat="1" ht="10.5" hidden="1" customHeight="1" outlineLevel="1" x14ac:dyDescent="0.15">
      <c r="C3" s="57" t="s">
        <v>18</v>
      </c>
      <c r="D3" s="58"/>
      <c r="E3" s="59" t="s">
        <v>19</v>
      </c>
      <c r="H3" s="60"/>
      <c r="J3" s="61"/>
    </row>
    <row r="4" spans="1:194" s="50" customFormat="1" ht="15.2" hidden="1" customHeight="1" outlineLevel="1" x14ac:dyDescent="0.25">
      <c r="A4" s="50" t="s">
        <v>89</v>
      </c>
      <c r="C4" s="53"/>
      <c r="E4" s="54" t="s">
        <v>90</v>
      </c>
      <c r="H4" s="55"/>
      <c r="J4" s="52"/>
    </row>
    <row r="5" spans="1:194" s="63" customFormat="1" ht="24.75" hidden="1" customHeight="1" outlineLevel="1" x14ac:dyDescent="0.2">
      <c r="A5" s="62"/>
      <c r="C5" s="64" t="s">
        <v>18</v>
      </c>
      <c r="D5" s="58"/>
      <c r="E5" s="59" t="s">
        <v>19</v>
      </c>
      <c r="F5" s="56"/>
      <c r="H5" s="60"/>
      <c r="J5" s="65"/>
    </row>
    <row r="6" spans="1:194" s="50" customFormat="1" ht="16.5" customHeight="1" collapsed="1" x14ac:dyDescent="0.3">
      <c r="E6" s="66" t="s">
        <v>20</v>
      </c>
      <c r="F6" s="53"/>
      <c r="I6" s="67" t="s">
        <v>21</v>
      </c>
      <c r="J6" s="52"/>
    </row>
    <row r="7" spans="1:194" ht="18" customHeight="1" x14ac:dyDescent="0.25">
      <c r="B7" s="406" t="s">
        <v>71</v>
      </c>
      <c r="C7" s="406"/>
      <c r="D7" s="406"/>
      <c r="E7" s="406"/>
      <c r="F7" s="406"/>
      <c r="G7" s="406"/>
      <c r="H7" s="71" t="s">
        <v>22</v>
      </c>
      <c r="I7" s="72" t="s">
        <v>23</v>
      </c>
      <c r="J7" s="73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50" customFormat="1" ht="23.25" customHeight="1" x14ac:dyDescent="0.25">
      <c r="B8" s="74" t="s">
        <v>9</v>
      </c>
      <c r="C8" s="408" t="s">
        <v>126</v>
      </c>
      <c r="D8" s="408"/>
      <c r="E8" s="408"/>
      <c r="F8" s="408"/>
      <c r="G8" s="75" t="s">
        <v>118</v>
      </c>
      <c r="H8" s="71" t="s">
        <v>24</v>
      </c>
      <c r="I8" s="159">
        <v>45930</v>
      </c>
      <c r="J8" s="52"/>
    </row>
    <row r="9" spans="1:194" s="81" customFormat="1" ht="26.25" customHeight="1" x14ac:dyDescent="0.25">
      <c r="A9" s="409" t="s">
        <v>25</v>
      </c>
      <c r="B9" s="409"/>
      <c r="C9" s="76" t="s">
        <v>26</v>
      </c>
      <c r="D9" s="77"/>
      <c r="E9" s="78"/>
      <c r="F9" s="78"/>
      <c r="G9" s="78"/>
      <c r="H9" s="71" t="s">
        <v>27</v>
      </c>
      <c r="I9" s="79" t="s">
        <v>28</v>
      </c>
      <c r="J9" s="80"/>
    </row>
    <row r="10" spans="1:194" s="50" customFormat="1" ht="13.5" customHeight="1" x14ac:dyDescent="0.2">
      <c r="A10" s="82" t="s">
        <v>29</v>
      </c>
      <c r="C10" s="410" t="s">
        <v>70</v>
      </c>
      <c r="D10" s="410"/>
      <c r="E10" s="410"/>
      <c r="F10" s="410"/>
      <c r="G10" s="410"/>
      <c r="H10" s="74" t="s">
        <v>30</v>
      </c>
      <c r="I10" s="83"/>
      <c r="J10" s="52"/>
    </row>
    <row r="11" spans="1:194" s="81" customFormat="1" ht="12" customHeight="1" x14ac:dyDescent="0.3">
      <c r="A11" s="84" t="s">
        <v>31</v>
      </c>
      <c r="B11" s="85"/>
      <c r="C11" s="77"/>
      <c r="D11" s="86"/>
      <c r="E11" s="87"/>
      <c r="F11" s="88"/>
      <c r="G11" s="87"/>
      <c r="H11" s="74" t="s">
        <v>32</v>
      </c>
      <c r="I11" s="83"/>
      <c r="J11" s="80"/>
    </row>
    <row r="12" spans="1:194" s="81" customFormat="1" ht="12" customHeight="1" x14ac:dyDescent="0.25">
      <c r="A12" s="84" t="s">
        <v>33</v>
      </c>
      <c r="B12" s="85"/>
      <c r="C12" s="89"/>
      <c r="D12" s="90"/>
      <c r="E12" s="90"/>
      <c r="F12" s="90"/>
      <c r="G12" s="90"/>
      <c r="H12" s="74" t="s">
        <v>34</v>
      </c>
      <c r="I12" s="83"/>
      <c r="J12" s="80"/>
    </row>
    <row r="13" spans="1:194" s="81" customFormat="1" ht="12" customHeight="1" x14ac:dyDescent="0.25">
      <c r="A13" s="91" t="s">
        <v>35</v>
      </c>
      <c r="B13" s="85"/>
      <c r="C13" s="89"/>
      <c r="D13" s="90"/>
      <c r="E13" s="90"/>
      <c r="F13" s="90"/>
      <c r="G13" s="90"/>
      <c r="H13" s="74" t="s">
        <v>36</v>
      </c>
      <c r="I13" s="83"/>
      <c r="J13" s="80"/>
    </row>
    <row r="14" spans="1:194" ht="12" customHeight="1" x14ac:dyDescent="0.2">
      <c r="A14" s="84" t="s">
        <v>37</v>
      </c>
      <c r="H14" s="74" t="s">
        <v>38</v>
      </c>
      <c r="I14" s="79" t="s">
        <v>39</v>
      </c>
      <c r="J14" s="73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ht="12" customHeight="1" x14ac:dyDescent="0.2">
      <c r="A15" s="84" t="s">
        <v>40</v>
      </c>
      <c r="C15" s="92" t="s">
        <v>41</v>
      </c>
      <c r="E15" s="93"/>
      <c r="F15" s="93"/>
      <c r="G15" s="93"/>
      <c r="I15" s="94"/>
    </row>
    <row r="16" spans="1:194" s="98" customFormat="1" ht="28.5" customHeight="1" x14ac:dyDescent="0.2">
      <c r="A16" s="217" t="s">
        <v>1</v>
      </c>
      <c r="B16" s="411" t="s">
        <v>12</v>
      </c>
      <c r="C16" s="411"/>
      <c r="D16" s="411"/>
      <c r="E16" s="411"/>
      <c r="F16" s="218" t="s">
        <v>2</v>
      </c>
      <c r="G16" s="412" t="s">
        <v>42</v>
      </c>
      <c r="H16" s="412"/>
      <c r="I16" s="412"/>
      <c r="J16" s="96"/>
      <c r="K16" s="97"/>
    </row>
    <row r="17" spans="1:11" s="101" customFormat="1" ht="10.5" customHeight="1" x14ac:dyDescent="0.2">
      <c r="A17" s="99">
        <v>1</v>
      </c>
      <c r="B17" s="407">
        <v>2</v>
      </c>
      <c r="C17" s="407"/>
      <c r="D17" s="407"/>
      <c r="E17" s="407"/>
      <c r="F17" s="99">
        <v>3</v>
      </c>
      <c r="G17" s="407">
        <v>4</v>
      </c>
      <c r="H17" s="407"/>
      <c r="I17" s="407"/>
      <c r="J17" s="100"/>
    </row>
    <row r="18" spans="1:11" s="104" customFormat="1" ht="18" customHeight="1" x14ac:dyDescent="0.25">
      <c r="A18" s="102">
        <v>3</v>
      </c>
      <c r="B18" s="396" t="e">
        <f>'табель малоимущих'!#REF!</f>
        <v>#REF!</v>
      </c>
      <c r="C18" s="397"/>
      <c r="D18" s="397"/>
      <c r="E18" s="398"/>
      <c r="F18" s="132" t="e">
        <f>'табель малоимущих'!#REF!</f>
        <v>#REF!</v>
      </c>
      <c r="G18" s="399" t="e">
        <f>'табель малоимущих'!#REF!</f>
        <v>#REF!</v>
      </c>
      <c r="H18" s="400"/>
      <c r="I18" s="401"/>
      <c r="J18" s="103"/>
      <c r="K18" s="105"/>
    </row>
    <row r="19" spans="1:11" s="104" customFormat="1" ht="18" customHeight="1" x14ac:dyDescent="0.25">
      <c r="A19" s="102">
        <v>7</v>
      </c>
      <c r="B19" s="396">
        <f>'табель малоимущих'!B12</f>
        <v>0</v>
      </c>
      <c r="C19" s="397"/>
      <c r="D19" s="397"/>
      <c r="E19" s="398"/>
      <c r="F19" s="132">
        <f>'табель малоимущих'!C12</f>
        <v>0</v>
      </c>
      <c r="G19" s="399">
        <f>'табель малоимущих'!AP12</f>
        <v>1598.2400000000005</v>
      </c>
      <c r="H19" s="400"/>
      <c r="I19" s="401"/>
      <c r="J19" s="95"/>
      <c r="K19" s="105"/>
    </row>
    <row r="20" spans="1:11" s="104" customFormat="1" ht="18" hidden="1" customHeight="1" collapsed="1" x14ac:dyDescent="0.25">
      <c r="A20" s="102">
        <v>10</v>
      </c>
      <c r="B20" s="396">
        <f>'табель малоимущих'!B13</f>
        <v>0</v>
      </c>
      <c r="C20" s="397"/>
      <c r="D20" s="397"/>
      <c r="E20" s="398"/>
      <c r="F20" s="132">
        <f>'табель малоимущих'!C13</f>
        <v>0</v>
      </c>
      <c r="G20" s="399">
        <f>'табель малоимущих'!AP13</f>
        <v>0</v>
      </c>
      <c r="H20" s="400"/>
      <c r="I20" s="401"/>
      <c r="J20" s="103"/>
      <c r="K20" s="105"/>
    </row>
    <row r="21" spans="1:11" s="104" customFormat="1" ht="18" hidden="1" customHeight="1" x14ac:dyDescent="0.25">
      <c r="A21" s="102">
        <v>11</v>
      </c>
      <c r="B21" s="396">
        <f>'табель малоимущих'!B14</f>
        <v>0</v>
      </c>
      <c r="C21" s="397"/>
      <c r="D21" s="397"/>
      <c r="E21" s="398"/>
      <c r="F21" s="132">
        <f>'табель малоимущих'!C14</f>
        <v>0</v>
      </c>
      <c r="G21" s="399">
        <f>'табель малоимущих'!AP14</f>
        <v>0</v>
      </c>
      <c r="H21" s="400"/>
      <c r="I21" s="401"/>
      <c r="J21" s="103"/>
      <c r="K21" s="105"/>
    </row>
    <row r="22" spans="1:11" s="104" customFormat="1" ht="18" hidden="1" customHeight="1" x14ac:dyDescent="0.25">
      <c r="A22" s="102">
        <v>12</v>
      </c>
      <c r="B22" s="396">
        <f>'табель малоимущих'!B15</f>
        <v>0</v>
      </c>
      <c r="C22" s="397"/>
      <c r="D22" s="397"/>
      <c r="E22" s="398"/>
      <c r="F22" s="132">
        <f>'табель малоимущих'!C15</f>
        <v>0</v>
      </c>
      <c r="G22" s="399">
        <f>'табель малоимущих'!AP15</f>
        <v>0</v>
      </c>
      <c r="H22" s="400"/>
      <c r="I22" s="401"/>
      <c r="J22" s="103"/>
      <c r="K22" s="105"/>
    </row>
    <row r="23" spans="1:11" s="104" customFormat="1" ht="18" hidden="1" customHeight="1" x14ac:dyDescent="0.25">
      <c r="A23" s="102">
        <v>13</v>
      </c>
      <c r="B23" s="396">
        <f>'табель малоимущих'!B16</f>
        <v>0</v>
      </c>
      <c r="C23" s="397"/>
      <c r="D23" s="397"/>
      <c r="E23" s="398"/>
      <c r="F23" s="132">
        <f>'табель малоимущих'!C16</f>
        <v>0</v>
      </c>
      <c r="G23" s="399">
        <f>'табель малоимущих'!AP16</f>
        <v>0</v>
      </c>
      <c r="H23" s="400"/>
      <c r="I23" s="401"/>
      <c r="J23" s="103"/>
      <c r="K23" s="105"/>
    </row>
    <row r="24" spans="1:11" s="104" customFormat="1" ht="18" hidden="1" customHeight="1" x14ac:dyDescent="0.25">
      <c r="A24" s="102">
        <v>14</v>
      </c>
      <c r="B24" s="396">
        <f>'табель малоимущих'!B17</f>
        <v>0</v>
      </c>
      <c r="C24" s="397"/>
      <c r="D24" s="397"/>
      <c r="E24" s="398"/>
      <c r="F24" s="132">
        <f>'табель малоимущих'!C17</f>
        <v>0</v>
      </c>
      <c r="G24" s="399">
        <f>'табель малоимущих'!AP17</f>
        <v>0</v>
      </c>
      <c r="H24" s="400"/>
      <c r="I24" s="401"/>
      <c r="J24" s="103"/>
      <c r="K24" s="105"/>
    </row>
    <row r="25" spans="1:11" s="104" customFormat="1" ht="18" hidden="1" customHeight="1" x14ac:dyDescent="0.25">
      <c r="A25" s="102">
        <v>15</v>
      </c>
      <c r="B25" s="396">
        <f>'табель малоимущих'!B18</f>
        <v>0</v>
      </c>
      <c r="C25" s="397"/>
      <c r="D25" s="397"/>
      <c r="E25" s="398"/>
      <c r="F25" s="132">
        <f>'табель малоимущих'!C18</f>
        <v>0</v>
      </c>
      <c r="G25" s="399">
        <f>'табель малоимущих'!AP18</f>
        <v>0</v>
      </c>
      <c r="H25" s="400"/>
      <c r="I25" s="401"/>
      <c r="J25" s="103"/>
      <c r="K25" s="105"/>
    </row>
    <row r="26" spans="1:11" s="104" customFormat="1" ht="18" hidden="1" customHeight="1" x14ac:dyDescent="0.25">
      <c r="A26" s="102">
        <v>16</v>
      </c>
      <c r="B26" s="396">
        <f>'табель малоимущих'!B19</f>
        <v>0</v>
      </c>
      <c r="C26" s="397"/>
      <c r="D26" s="397"/>
      <c r="E26" s="398"/>
      <c r="F26" s="132">
        <f>'табель малоимущих'!C19</f>
        <v>0</v>
      </c>
      <c r="G26" s="399">
        <f>'табель малоимущих'!AP19</f>
        <v>0</v>
      </c>
      <c r="H26" s="400"/>
      <c r="I26" s="401"/>
      <c r="J26" s="95"/>
      <c r="K26" s="105"/>
    </row>
    <row r="27" spans="1:11" s="104" customFormat="1" ht="18" hidden="1" customHeight="1" x14ac:dyDescent="0.25">
      <c r="A27" s="102">
        <v>17</v>
      </c>
      <c r="B27" s="396">
        <f>'табель малоимущих'!B20</f>
        <v>0</v>
      </c>
      <c r="C27" s="397"/>
      <c r="D27" s="397"/>
      <c r="E27" s="398"/>
      <c r="F27" s="132">
        <f>'табель малоимущих'!C20</f>
        <v>0</v>
      </c>
      <c r="G27" s="399">
        <f>'табель малоимущих'!AP20</f>
        <v>0</v>
      </c>
      <c r="H27" s="400"/>
      <c r="I27" s="401"/>
      <c r="J27" s="95"/>
      <c r="K27" s="105"/>
    </row>
    <row r="28" spans="1:11" s="104" customFormat="1" ht="18" hidden="1" customHeight="1" x14ac:dyDescent="0.25">
      <c r="A28" s="102">
        <v>18</v>
      </c>
      <c r="B28" s="396">
        <f>'табель малоимущих'!B21</f>
        <v>0</v>
      </c>
      <c r="C28" s="397"/>
      <c r="D28" s="397"/>
      <c r="E28" s="398"/>
      <c r="F28" s="132">
        <f>'табель малоимущих'!C21</f>
        <v>0</v>
      </c>
      <c r="G28" s="399">
        <f>'табель малоимущих'!AP21</f>
        <v>0</v>
      </c>
      <c r="H28" s="400"/>
      <c r="I28" s="401"/>
      <c r="J28" s="95"/>
      <c r="K28" s="105"/>
    </row>
    <row r="29" spans="1:11" s="104" customFormat="1" ht="18" hidden="1" customHeight="1" x14ac:dyDescent="0.25">
      <c r="A29" s="102">
        <v>19</v>
      </c>
      <c r="B29" s="396">
        <f>'табель малоимущих'!B22</f>
        <v>0</v>
      </c>
      <c r="C29" s="397"/>
      <c r="D29" s="397"/>
      <c r="E29" s="398"/>
      <c r="F29" s="132">
        <f>'табель малоимущих'!C22</f>
        <v>0</v>
      </c>
      <c r="G29" s="399">
        <f>'табель малоимущих'!AP22</f>
        <v>0</v>
      </c>
      <c r="H29" s="400"/>
      <c r="I29" s="401"/>
      <c r="J29" s="95"/>
      <c r="K29" s="105"/>
    </row>
    <row r="30" spans="1:11" s="104" customFormat="1" ht="18" hidden="1" customHeight="1" x14ac:dyDescent="0.25">
      <c r="A30" s="102">
        <v>20</v>
      </c>
      <c r="B30" s="396">
        <f>'табель малоимущих'!B23</f>
        <v>0</v>
      </c>
      <c r="C30" s="397"/>
      <c r="D30" s="397"/>
      <c r="E30" s="398"/>
      <c r="F30" s="132">
        <f>'табель малоимущих'!C23</f>
        <v>0</v>
      </c>
      <c r="G30" s="399">
        <f>'табель малоимущих'!AP23</f>
        <v>0</v>
      </c>
      <c r="H30" s="400"/>
      <c r="I30" s="401"/>
      <c r="J30" s="103"/>
      <c r="K30" s="105"/>
    </row>
    <row r="31" spans="1:11" s="104" customFormat="1" ht="18" hidden="1" customHeight="1" x14ac:dyDescent="0.25">
      <c r="A31" s="102">
        <v>21</v>
      </c>
      <c r="B31" s="396">
        <f>'табель малоимущих'!B24</f>
        <v>0</v>
      </c>
      <c r="C31" s="397"/>
      <c r="D31" s="397"/>
      <c r="E31" s="398"/>
      <c r="F31" s="132">
        <f>'табель малоимущих'!C24</f>
        <v>0</v>
      </c>
      <c r="G31" s="399">
        <f>'табель малоимущих'!AP24</f>
        <v>0</v>
      </c>
      <c r="H31" s="400"/>
      <c r="I31" s="401"/>
      <c r="J31" s="103"/>
      <c r="K31" s="105"/>
    </row>
    <row r="32" spans="1:11" s="104" customFormat="1" ht="17.25" hidden="1" customHeight="1" x14ac:dyDescent="0.25">
      <c r="A32" s="102">
        <v>22</v>
      </c>
      <c r="B32" s="396">
        <f>'табель малоимущих'!B25</f>
        <v>0</v>
      </c>
      <c r="C32" s="397"/>
      <c r="D32" s="397"/>
      <c r="E32" s="398"/>
      <c r="F32" s="132">
        <f>'табель малоимущих'!C25</f>
        <v>0</v>
      </c>
      <c r="G32" s="399">
        <f>'табель малоимущих'!AP25</f>
        <v>0</v>
      </c>
      <c r="H32" s="400"/>
      <c r="I32" s="401"/>
      <c r="J32" s="103"/>
      <c r="K32" s="105"/>
    </row>
    <row r="33" spans="1:11" s="104" customFormat="1" ht="17.25" hidden="1" customHeight="1" x14ac:dyDescent="0.25">
      <c r="A33" s="102">
        <v>23</v>
      </c>
      <c r="B33" s="396">
        <f>'табель малоимущих'!B26</f>
        <v>0</v>
      </c>
      <c r="C33" s="397"/>
      <c r="D33" s="397"/>
      <c r="E33" s="398"/>
      <c r="F33" s="132">
        <f>'табель малоимущих'!C26</f>
        <v>0</v>
      </c>
      <c r="G33" s="399">
        <f>'табель малоимущих'!AP26</f>
        <v>0</v>
      </c>
      <c r="H33" s="400"/>
      <c r="I33" s="401"/>
      <c r="J33" s="103"/>
      <c r="K33" s="105"/>
    </row>
    <row r="34" spans="1:11" s="104" customFormat="1" ht="18" hidden="1" customHeight="1" x14ac:dyDescent="0.25">
      <c r="A34" s="102">
        <v>24</v>
      </c>
      <c r="B34" s="396">
        <f>'табель малоимущих'!B27</f>
        <v>0</v>
      </c>
      <c r="C34" s="397"/>
      <c r="D34" s="397"/>
      <c r="E34" s="398"/>
      <c r="F34" s="132">
        <f>'табель малоимущих'!C27</f>
        <v>0</v>
      </c>
      <c r="G34" s="399">
        <f>'табель малоимущих'!AP27</f>
        <v>0</v>
      </c>
      <c r="H34" s="400"/>
      <c r="I34" s="401"/>
      <c r="J34" s="103"/>
      <c r="K34" s="105"/>
    </row>
    <row r="35" spans="1:11" s="104" customFormat="1" ht="18" hidden="1" customHeight="1" x14ac:dyDescent="0.25">
      <c r="A35" s="102">
        <v>25</v>
      </c>
      <c r="B35" s="396">
        <f>'табель малоимущих'!B28</f>
        <v>0</v>
      </c>
      <c r="C35" s="397"/>
      <c r="D35" s="397"/>
      <c r="E35" s="398"/>
      <c r="F35" s="132">
        <f>'табель малоимущих'!C28</f>
        <v>0</v>
      </c>
      <c r="G35" s="399">
        <f>'табель малоимущих'!AP28</f>
        <v>0</v>
      </c>
      <c r="H35" s="400"/>
      <c r="I35" s="401"/>
      <c r="J35" s="103"/>
      <c r="K35" s="105"/>
    </row>
    <row r="36" spans="1:11" s="104" customFormat="1" ht="18" hidden="1" customHeight="1" x14ac:dyDescent="0.25">
      <c r="A36" s="102">
        <v>26</v>
      </c>
      <c r="B36" s="396">
        <f>'табель малоимущих'!B29</f>
        <v>0</v>
      </c>
      <c r="C36" s="397"/>
      <c r="D36" s="397"/>
      <c r="E36" s="398"/>
      <c r="F36" s="132">
        <f>'табель малоимущих'!C29</f>
        <v>0</v>
      </c>
      <c r="G36" s="399">
        <f>'табель малоимущих'!AP29</f>
        <v>0</v>
      </c>
      <c r="H36" s="400"/>
      <c r="I36" s="401"/>
      <c r="J36" s="103"/>
      <c r="K36" s="105"/>
    </row>
    <row r="37" spans="1:11" s="104" customFormat="1" ht="20.100000000000001" hidden="1" customHeight="1" x14ac:dyDescent="0.25">
      <c r="A37" s="102">
        <v>27</v>
      </c>
      <c r="B37" s="396">
        <f>'табель малоимущих'!B30</f>
        <v>0</v>
      </c>
      <c r="C37" s="397"/>
      <c r="D37" s="397"/>
      <c r="E37" s="398"/>
      <c r="F37" s="132">
        <f>'табель малоимущих'!C30</f>
        <v>0</v>
      </c>
      <c r="G37" s="399">
        <f>'табель малоимущих'!AP30</f>
        <v>0</v>
      </c>
      <c r="H37" s="400"/>
      <c r="I37" s="401"/>
      <c r="J37" s="103"/>
      <c r="K37" s="105"/>
    </row>
    <row r="38" spans="1:11" s="104" customFormat="1" ht="20.100000000000001" hidden="1" customHeight="1" x14ac:dyDescent="0.25">
      <c r="A38" s="102">
        <v>28</v>
      </c>
      <c r="B38" s="396">
        <f>'табель малоимущих'!B31</f>
        <v>0</v>
      </c>
      <c r="C38" s="397"/>
      <c r="D38" s="397"/>
      <c r="E38" s="398"/>
      <c r="F38" s="132">
        <f>'табель малоимущих'!C31</f>
        <v>0</v>
      </c>
      <c r="G38" s="399">
        <f>'табель малоимущих'!AP31</f>
        <v>0</v>
      </c>
      <c r="H38" s="400"/>
      <c r="I38" s="401"/>
      <c r="J38" s="103"/>
      <c r="K38" s="105"/>
    </row>
    <row r="39" spans="1:11" s="104" customFormat="1" ht="20.100000000000001" hidden="1" customHeight="1" outlineLevel="1" x14ac:dyDescent="0.25">
      <c r="A39" s="102">
        <v>29</v>
      </c>
      <c r="B39" s="396">
        <f>'табель малоимущих'!B32</f>
        <v>0</v>
      </c>
      <c r="C39" s="397"/>
      <c r="D39" s="397"/>
      <c r="E39" s="398"/>
      <c r="F39" s="132">
        <f>'табель малоимущих'!C32</f>
        <v>0</v>
      </c>
      <c r="G39" s="399">
        <f>'табель малоимущих'!AP32</f>
        <v>0</v>
      </c>
      <c r="H39" s="400"/>
      <c r="I39" s="401"/>
      <c r="J39" s="103"/>
      <c r="K39" s="105"/>
    </row>
    <row r="40" spans="1:11" s="104" customFormat="1" ht="15" hidden="1" customHeight="1" outlineLevel="1" x14ac:dyDescent="0.25">
      <c r="A40" s="102">
        <v>30</v>
      </c>
      <c r="B40" s="396">
        <f>'табель малоимущих'!B33</f>
        <v>0</v>
      </c>
      <c r="C40" s="397"/>
      <c r="D40" s="397"/>
      <c r="E40" s="398"/>
      <c r="F40" s="132">
        <f>'табель малоимущих'!C33</f>
        <v>0</v>
      </c>
      <c r="G40" s="399">
        <f>'табель малоимущих'!AP33</f>
        <v>0</v>
      </c>
      <c r="H40" s="400"/>
      <c r="I40" s="401"/>
      <c r="J40" s="103"/>
      <c r="K40" s="105"/>
    </row>
    <row r="41" spans="1:11" s="104" customFormat="1" ht="15" hidden="1" customHeight="1" outlineLevel="1" x14ac:dyDescent="0.25">
      <c r="A41" s="102">
        <v>31</v>
      </c>
      <c r="B41" s="396">
        <f>'табель малоимущих'!B34</f>
        <v>0</v>
      </c>
      <c r="C41" s="397"/>
      <c r="D41" s="397"/>
      <c r="E41" s="398"/>
      <c r="F41" s="132">
        <f>'табель малоимущих'!C34</f>
        <v>0</v>
      </c>
      <c r="G41" s="399">
        <f>'табель малоимущих'!AP34</f>
        <v>0</v>
      </c>
      <c r="H41" s="400"/>
      <c r="I41" s="401"/>
      <c r="J41" s="95"/>
      <c r="K41" s="105"/>
    </row>
    <row r="42" spans="1:11" s="104" customFormat="1" ht="15" hidden="1" customHeight="1" outlineLevel="1" x14ac:dyDescent="0.25">
      <c r="A42" s="102">
        <v>32</v>
      </c>
      <c r="B42" s="396">
        <f>'табель малоимущих'!B35</f>
        <v>0</v>
      </c>
      <c r="C42" s="397"/>
      <c r="D42" s="397"/>
      <c r="E42" s="398"/>
      <c r="F42" s="132">
        <f>'табель малоимущих'!C35</f>
        <v>0</v>
      </c>
      <c r="G42" s="399">
        <f>'табель малоимущих'!AP35</f>
        <v>0</v>
      </c>
      <c r="H42" s="400"/>
      <c r="I42" s="401"/>
      <c r="J42" s="95"/>
      <c r="K42" s="105"/>
    </row>
    <row r="43" spans="1:11" s="104" customFormat="1" ht="15" hidden="1" customHeight="1" outlineLevel="1" x14ac:dyDescent="0.25">
      <c r="A43" s="102">
        <v>33</v>
      </c>
      <c r="B43" s="396">
        <f>'табель малоимущих'!B36</f>
        <v>0</v>
      </c>
      <c r="C43" s="397"/>
      <c r="D43" s="397"/>
      <c r="E43" s="398"/>
      <c r="F43" s="132">
        <f>'табель малоимущих'!C36</f>
        <v>0</v>
      </c>
      <c r="G43" s="399">
        <f>'табель малоимущих'!AP36</f>
        <v>0</v>
      </c>
      <c r="H43" s="400"/>
      <c r="I43" s="401"/>
      <c r="J43" s="95"/>
      <c r="K43" s="105"/>
    </row>
    <row r="44" spans="1:11" s="104" customFormat="1" ht="15" hidden="1" customHeight="1" outlineLevel="1" x14ac:dyDescent="0.25">
      <c r="A44" s="102">
        <v>34</v>
      </c>
      <c r="B44" s="396">
        <f>'табель малоимущих'!B37</f>
        <v>0</v>
      </c>
      <c r="C44" s="397"/>
      <c r="D44" s="397"/>
      <c r="E44" s="398"/>
      <c r="F44" s="132">
        <f>'табель малоимущих'!C37</f>
        <v>0</v>
      </c>
      <c r="G44" s="399">
        <f>'табель малоимущих'!AP37</f>
        <v>0</v>
      </c>
      <c r="H44" s="400"/>
      <c r="I44" s="401"/>
      <c r="J44" s="103"/>
      <c r="K44" s="105"/>
    </row>
    <row r="45" spans="1:11" s="104" customFormat="1" ht="15" hidden="1" customHeight="1" outlineLevel="1" x14ac:dyDescent="0.25">
      <c r="A45" s="102">
        <v>35</v>
      </c>
      <c r="B45" s="396" t="e">
        <f>'табель малоимущих'!#REF!</f>
        <v>#REF!</v>
      </c>
      <c r="C45" s="397"/>
      <c r="D45" s="397"/>
      <c r="E45" s="398"/>
      <c r="F45" s="132" t="e">
        <f>'табель малоимущих'!#REF!</f>
        <v>#REF!</v>
      </c>
      <c r="G45" s="399" t="e">
        <f>'табель малоимущих'!#REF!</f>
        <v>#REF!</v>
      </c>
      <c r="H45" s="400"/>
      <c r="I45" s="401"/>
      <c r="J45" s="103"/>
      <c r="K45" s="105"/>
    </row>
    <row r="46" spans="1:11" s="104" customFormat="1" ht="15" hidden="1" customHeight="1" outlineLevel="1" x14ac:dyDescent="0.25">
      <c r="A46" s="102">
        <v>36</v>
      </c>
      <c r="B46" s="404">
        <f>'табель малоимущих'!B40</f>
        <v>0</v>
      </c>
      <c r="C46" s="404"/>
      <c r="D46" s="404"/>
      <c r="E46" s="404"/>
      <c r="F46" s="132">
        <f>'табель малоимущих'!C38</f>
        <v>0</v>
      </c>
      <c r="G46" s="399">
        <f>'табель малоимущих'!AP38</f>
        <v>0</v>
      </c>
      <c r="H46" s="400"/>
      <c r="I46" s="401"/>
      <c r="J46" s="103"/>
      <c r="K46" s="105"/>
    </row>
    <row r="47" spans="1:11" s="104" customFormat="1" ht="15" hidden="1" customHeight="1" outlineLevel="1" x14ac:dyDescent="0.25">
      <c r="A47" s="102">
        <v>37</v>
      </c>
      <c r="B47" s="404">
        <f>'табель малоимущих'!B41</f>
        <v>0</v>
      </c>
      <c r="C47" s="404"/>
      <c r="D47" s="404"/>
      <c r="E47" s="404"/>
      <c r="F47" s="132">
        <f>'табель малоимущих'!C39</f>
        <v>0</v>
      </c>
      <c r="G47" s="399">
        <f>'табель малоимущих'!AP39</f>
        <v>0</v>
      </c>
      <c r="H47" s="400"/>
      <c r="I47" s="401"/>
      <c r="J47" s="103"/>
      <c r="K47" s="105"/>
    </row>
    <row r="48" spans="1:11" s="104" customFormat="1" ht="15" hidden="1" customHeight="1" outlineLevel="1" x14ac:dyDescent="0.25">
      <c r="A48" s="102">
        <v>38</v>
      </c>
      <c r="B48" s="404">
        <f>'табель малоимущих'!B42</f>
        <v>0</v>
      </c>
      <c r="C48" s="404"/>
      <c r="D48" s="404"/>
      <c r="E48" s="404"/>
      <c r="F48" s="132">
        <f>'табель малоимущих'!C40</f>
        <v>0</v>
      </c>
      <c r="G48" s="399">
        <f>'табель малоимущих'!AP40</f>
        <v>0</v>
      </c>
      <c r="H48" s="400"/>
      <c r="I48" s="401"/>
      <c r="J48" s="103"/>
      <c r="K48" s="105"/>
    </row>
    <row r="49" spans="1:11" s="104" customFormat="1" ht="15" hidden="1" customHeight="1" outlineLevel="1" x14ac:dyDescent="0.25">
      <c r="A49" s="102">
        <v>39</v>
      </c>
      <c r="B49" s="404">
        <f>'табель малоимущих'!B43</f>
        <v>0</v>
      </c>
      <c r="C49" s="404"/>
      <c r="D49" s="404"/>
      <c r="E49" s="404"/>
      <c r="F49" s="132">
        <f>'табель малоимущих'!C41</f>
        <v>0</v>
      </c>
      <c r="G49" s="399">
        <f>'табель малоимущих'!AP41</f>
        <v>0</v>
      </c>
      <c r="H49" s="400"/>
      <c r="I49" s="401"/>
      <c r="J49" s="103"/>
      <c r="K49" s="105"/>
    </row>
    <row r="50" spans="1:11" s="104" customFormat="1" ht="15" hidden="1" customHeight="1" x14ac:dyDescent="0.25">
      <c r="A50" s="102">
        <v>40</v>
      </c>
      <c r="B50" s="404">
        <f>'табель малоимущих'!B44</f>
        <v>0</v>
      </c>
      <c r="C50" s="404"/>
      <c r="D50" s="404"/>
      <c r="E50" s="404"/>
      <c r="F50" s="132">
        <f>'табель малоимущих'!C42</f>
        <v>0</v>
      </c>
      <c r="G50" s="399">
        <f>'табель малоимущих'!AP42</f>
        <v>0</v>
      </c>
      <c r="H50" s="400"/>
      <c r="I50" s="401"/>
      <c r="J50" s="103"/>
      <c r="K50" s="105"/>
    </row>
    <row r="51" spans="1:11" s="104" customFormat="1" ht="15" hidden="1" customHeight="1" x14ac:dyDescent="0.25">
      <c r="A51" s="102">
        <v>41</v>
      </c>
      <c r="B51" s="404">
        <f>'табель малоимущих'!B45</f>
        <v>0</v>
      </c>
      <c r="C51" s="404"/>
      <c r="D51" s="404"/>
      <c r="E51" s="404"/>
      <c r="F51" s="132">
        <f>'табель малоимущих'!C43</f>
        <v>0</v>
      </c>
      <c r="G51" s="399">
        <f>'табель малоимущих'!AP43</f>
        <v>0</v>
      </c>
      <c r="H51" s="400"/>
      <c r="I51" s="401"/>
      <c r="J51" s="103"/>
      <c r="K51" s="105"/>
    </row>
    <row r="52" spans="1:11" s="104" customFormat="1" ht="15" hidden="1" customHeight="1" x14ac:dyDescent="0.25">
      <c r="A52" s="102">
        <v>42</v>
      </c>
      <c r="B52" s="404">
        <f>'табель малоимущих'!B46</f>
        <v>0</v>
      </c>
      <c r="C52" s="404"/>
      <c r="D52" s="404"/>
      <c r="E52" s="404"/>
      <c r="F52" s="132">
        <f>'табель малоимущих'!C44</f>
        <v>0</v>
      </c>
      <c r="G52" s="399"/>
      <c r="H52" s="400"/>
      <c r="I52" s="401"/>
      <c r="J52" s="103"/>
      <c r="K52" s="105"/>
    </row>
    <row r="53" spans="1:11" s="104" customFormat="1" ht="15" hidden="1" customHeight="1" x14ac:dyDescent="0.25">
      <c r="A53" s="102">
        <v>43</v>
      </c>
      <c r="B53" s="404">
        <f>'табель малоимущих'!B47</f>
        <v>0</v>
      </c>
      <c r="C53" s="404"/>
      <c r="D53" s="404"/>
      <c r="E53" s="404"/>
      <c r="F53" s="132">
        <f>'табель малоимущих'!C45</f>
        <v>0</v>
      </c>
      <c r="G53" s="399"/>
      <c r="H53" s="400"/>
      <c r="I53" s="401"/>
      <c r="J53" s="103"/>
      <c r="K53" s="105"/>
    </row>
    <row r="54" spans="1:11" s="104" customFormat="1" ht="15" hidden="1" customHeight="1" x14ac:dyDescent="0.25">
      <c r="A54" s="102">
        <v>44</v>
      </c>
      <c r="B54" s="404">
        <f>'табель малоимущих'!B48</f>
        <v>0</v>
      </c>
      <c r="C54" s="404"/>
      <c r="D54" s="404"/>
      <c r="E54" s="404"/>
      <c r="F54" s="132">
        <f>'табель малоимущих'!C46</f>
        <v>0</v>
      </c>
      <c r="G54" s="399">
        <f>'табель малоимущих'!AP46</f>
        <v>0</v>
      </c>
      <c r="H54" s="400"/>
      <c r="I54" s="401"/>
      <c r="J54" s="95"/>
      <c r="K54" s="105"/>
    </row>
    <row r="55" spans="1:11" s="104" customFormat="1" ht="15" hidden="1" customHeight="1" collapsed="1" x14ac:dyDescent="0.25">
      <c r="A55" s="102">
        <v>45</v>
      </c>
      <c r="B55" s="404">
        <f>'табель малоимущих'!B49</f>
        <v>0</v>
      </c>
      <c r="C55" s="404"/>
      <c r="D55" s="404"/>
      <c r="E55" s="404"/>
      <c r="F55" s="132">
        <f>'табель малоимущих'!C47</f>
        <v>0</v>
      </c>
      <c r="G55" s="399">
        <f>'табель малоимущих'!AP47</f>
        <v>0</v>
      </c>
      <c r="H55" s="400"/>
      <c r="I55" s="401"/>
      <c r="J55" s="95"/>
      <c r="K55" s="105"/>
    </row>
    <row r="56" spans="1:11" s="104" customFormat="1" ht="15" hidden="1" customHeight="1" x14ac:dyDescent="0.25">
      <c r="A56" s="102">
        <v>46</v>
      </c>
      <c r="B56" s="404">
        <f>'табель малоимущих'!B50</f>
        <v>0</v>
      </c>
      <c r="C56" s="404"/>
      <c r="D56" s="404"/>
      <c r="E56" s="404"/>
      <c r="F56" s="132">
        <f>'табель малоимущих'!C48</f>
        <v>0</v>
      </c>
      <c r="G56" s="399">
        <f>'табель малоимущих'!AP48</f>
        <v>0</v>
      </c>
      <c r="H56" s="400"/>
      <c r="I56" s="401"/>
      <c r="J56" s="103"/>
      <c r="K56" s="105"/>
    </row>
    <row r="57" spans="1:11" s="104" customFormat="1" ht="15" hidden="1" customHeight="1" collapsed="1" x14ac:dyDescent="0.25">
      <c r="A57" s="102">
        <v>47</v>
      </c>
      <c r="B57" s="404">
        <f>'табель малоимущих'!B51</f>
        <v>0</v>
      </c>
      <c r="C57" s="404"/>
      <c r="D57" s="404"/>
      <c r="E57" s="404"/>
      <c r="F57" s="132">
        <f>'табель малоимущих'!C49</f>
        <v>0</v>
      </c>
      <c r="G57" s="399">
        <f>'табель малоимущих'!AP49</f>
        <v>0</v>
      </c>
      <c r="H57" s="400"/>
      <c r="I57" s="401"/>
      <c r="J57" s="103"/>
      <c r="K57" s="105"/>
    </row>
    <row r="58" spans="1:11" s="104" customFormat="1" ht="15" hidden="1" customHeight="1" collapsed="1" x14ac:dyDescent="0.25">
      <c r="A58" s="102">
        <v>48</v>
      </c>
      <c r="B58" s="404">
        <f>'табель малоимущих'!B52</f>
        <v>0</v>
      </c>
      <c r="C58" s="404"/>
      <c r="D58" s="404"/>
      <c r="E58" s="404"/>
      <c r="F58" s="132">
        <f>'табель малоимущих'!C50</f>
        <v>0</v>
      </c>
      <c r="G58" s="405">
        <v>0</v>
      </c>
      <c r="H58" s="405"/>
      <c r="I58" s="405"/>
      <c r="J58" s="103"/>
      <c r="K58" s="105"/>
    </row>
    <row r="59" spans="1:11" s="104" customFormat="1" ht="15" hidden="1" customHeight="1" x14ac:dyDescent="0.25">
      <c r="A59" s="102">
        <v>49</v>
      </c>
      <c r="B59" s="404">
        <f>'табель малоимущих'!B53</f>
        <v>0</v>
      </c>
      <c r="C59" s="404"/>
      <c r="D59" s="404"/>
      <c r="E59" s="404"/>
      <c r="F59" s="132">
        <f>'табель малоимущих'!C51</f>
        <v>0</v>
      </c>
      <c r="G59" s="405">
        <v>0</v>
      </c>
      <c r="H59" s="405"/>
      <c r="I59" s="405"/>
      <c r="J59" s="95"/>
      <c r="K59" s="105"/>
    </row>
    <row r="60" spans="1:11" s="104" customFormat="1" ht="15" hidden="1" customHeight="1" x14ac:dyDescent="0.25">
      <c r="A60" s="102">
        <v>50</v>
      </c>
      <c r="B60" s="404">
        <f>'табель малоимущих'!B54</f>
        <v>0</v>
      </c>
      <c r="C60" s="404"/>
      <c r="D60" s="404"/>
      <c r="E60" s="404"/>
      <c r="F60" s="132">
        <f>'табель малоимущих'!C52</f>
        <v>0</v>
      </c>
      <c r="G60" s="405">
        <v>0</v>
      </c>
      <c r="H60" s="405"/>
      <c r="I60" s="405"/>
      <c r="J60" s="103"/>
      <c r="K60" s="105"/>
    </row>
    <row r="61" spans="1:11" s="104" customFormat="1" ht="15" hidden="1" customHeight="1" x14ac:dyDescent="0.25">
      <c r="A61" s="102">
        <v>51</v>
      </c>
      <c r="B61" s="404">
        <f>'табель малоимущих'!B55</f>
        <v>0</v>
      </c>
      <c r="C61" s="404"/>
      <c r="D61" s="404"/>
      <c r="E61" s="404"/>
      <c r="F61" s="132">
        <f>'табель малоимущих'!C53</f>
        <v>0</v>
      </c>
      <c r="G61" s="405">
        <v>0</v>
      </c>
      <c r="H61" s="405"/>
      <c r="I61" s="405"/>
      <c r="J61" s="103"/>
      <c r="K61" s="105"/>
    </row>
    <row r="62" spans="1:11" s="104" customFormat="1" ht="15" hidden="1" customHeight="1" x14ac:dyDescent="0.25">
      <c r="A62" s="102">
        <v>52</v>
      </c>
      <c r="B62" s="404">
        <f>'табель малоимущих'!B56</f>
        <v>0</v>
      </c>
      <c r="C62" s="404"/>
      <c r="D62" s="404"/>
      <c r="E62" s="404"/>
      <c r="F62" s="132">
        <f>'табель малоимущих'!C54</f>
        <v>0</v>
      </c>
      <c r="G62" s="405">
        <v>0</v>
      </c>
      <c r="H62" s="405"/>
      <c r="I62" s="405"/>
      <c r="J62" s="103"/>
      <c r="K62" s="105"/>
    </row>
    <row r="63" spans="1:11" s="104" customFormat="1" ht="15" hidden="1" customHeight="1" x14ac:dyDescent="0.25">
      <c r="A63" s="102">
        <v>53</v>
      </c>
      <c r="B63" s="404">
        <f>'табель малоимущих'!B57</f>
        <v>0</v>
      </c>
      <c r="C63" s="404"/>
      <c r="D63" s="404"/>
      <c r="E63" s="404"/>
      <c r="F63" s="132">
        <f>'табель малоимущих'!C55</f>
        <v>0</v>
      </c>
      <c r="G63" s="405">
        <v>0</v>
      </c>
      <c r="H63" s="405"/>
      <c r="I63" s="405"/>
      <c r="J63" s="103"/>
      <c r="K63" s="105"/>
    </row>
    <row r="64" spans="1:11" s="104" customFormat="1" ht="15" hidden="1" customHeight="1" x14ac:dyDescent="0.25">
      <c r="A64" s="102">
        <v>54</v>
      </c>
      <c r="B64" s="404">
        <f>'табель малоимущих'!B58</f>
        <v>0</v>
      </c>
      <c r="C64" s="404"/>
      <c r="D64" s="404"/>
      <c r="E64" s="404"/>
      <c r="F64" s="132">
        <f>'табель малоимущих'!C56</f>
        <v>0</v>
      </c>
      <c r="G64" s="405">
        <v>0</v>
      </c>
      <c r="H64" s="405"/>
      <c r="I64" s="405"/>
      <c r="J64" s="103"/>
      <c r="K64" s="105"/>
    </row>
    <row r="65" spans="1:11" s="104" customFormat="1" ht="15" hidden="1" customHeight="1" x14ac:dyDescent="0.25">
      <c r="A65" s="102">
        <v>55</v>
      </c>
      <c r="B65" s="404">
        <f>'табель малоимущих'!B59</f>
        <v>0</v>
      </c>
      <c r="C65" s="404"/>
      <c r="D65" s="404"/>
      <c r="E65" s="404"/>
      <c r="F65" s="132">
        <f>'табель малоимущих'!C57</f>
        <v>0</v>
      </c>
      <c r="G65" s="405">
        <v>0</v>
      </c>
      <c r="H65" s="405"/>
      <c r="I65" s="405"/>
      <c r="J65" s="103"/>
      <c r="K65" s="105"/>
    </row>
    <row r="66" spans="1:11" s="104" customFormat="1" ht="15" hidden="1" customHeight="1" x14ac:dyDescent="0.25">
      <c r="A66" s="102">
        <v>56</v>
      </c>
      <c r="B66" s="404">
        <f>'табель малоимущих'!B60</f>
        <v>0</v>
      </c>
      <c r="C66" s="404"/>
      <c r="D66" s="404"/>
      <c r="E66" s="404"/>
      <c r="F66" s="132">
        <f>'табель малоимущих'!C58</f>
        <v>0</v>
      </c>
      <c r="G66" s="405">
        <v>0</v>
      </c>
      <c r="H66" s="405"/>
      <c r="I66" s="405"/>
      <c r="J66" s="103"/>
      <c r="K66" s="105"/>
    </row>
    <row r="67" spans="1:11" s="104" customFormat="1" ht="15" hidden="1" customHeight="1" x14ac:dyDescent="0.25">
      <c r="A67" s="102">
        <v>57</v>
      </c>
      <c r="B67" s="404">
        <f>'табель малоимущих'!B61</f>
        <v>0</v>
      </c>
      <c r="C67" s="404"/>
      <c r="D67" s="404"/>
      <c r="E67" s="404"/>
      <c r="F67" s="132">
        <f>'табель малоимущих'!C59</f>
        <v>0</v>
      </c>
      <c r="G67" s="405">
        <v>0</v>
      </c>
      <c r="H67" s="405"/>
      <c r="I67" s="405"/>
      <c r="J67" s="103"/>
      <c r="K67" s="105"/>
    </row>
    <row r="68" spans="1:11" s="104" customFormat="1" ht="15" hidden="1" customHeight="1" x14ac:dyDescent="0.25">
      <c r="A68" s="102">
        <v>58</v>
      </c>
      <c r="B68" s="404">
        <f>'табель малоимущих'!B62</f>
        <v>0</v>
      </c>
      <c r="C68" s="404"/>
      <c r="D68" s="404"/>
      <c r="E68" s="404"/>
      <c r="F68" s="132">
        <f>'табель малоимущих'!C60</f>
        <v>0</v>
      </c>
      <c r="G68" s="405">
        <v>0</v>
      </c>
      <c r="H68" s="405"/>
      <c r="I68" s="405"/>
      <c r="J68" s="103"/>
      <c r="K68" s="105"/>
    </row>
    <row r="69" spans="1:11" s="104" customFormat="1" ht="15" hidden="1" customHeight="1" x14ac:dyDescent="0.25">
      <c r="A69" s="102">
        <v>59</v>
      </c>
      <c r="B69" s="404">
        <f>'табель малоимущих'!B63</f>
        <v>0</v>
      </c>
      <c r="C69" s="404"/>
      <c r="D69" s="404"/>
      <c r="E69" s="404"/>
      <c r="F69" s="132">
        <f>'табель малоимущих'!C61</f>
        <v>0</v>
      </c>
      <c r="G69" s="405">
        <v>0</v>
      </c>
      <c r="H69" s="405"/>
      <c r="I69" s="405"/>
      <c r="J69" s="103"/>
      <c r="K69" s="105"/>
    </row>
    <row r="70" spans="1:11" s="104" customFormat="1" ht="15" hidden="1" customHeight="1" x14ac:dyDescent="0.25">
      <c r="A70" s="102">
        <v>60</v>
      </c>
      <c r="B70" s="404">
        <f>'табель малоимущих'!B64</f>
        <v>0</v>
      </c>
      <c r="C70" s="404"/>
      <c r="D70" s="404"/>
      <c r="E70" s="404"/>
      <c r="F70" s="132">
        <f>'табель малоимущих'!C62</f>
        <v>0</v>
      </c>
      <c r="G70" s="405">
        <v>0</v>
      </c>
      <c r="H70" s="405"/>
      <c r="I70" s="405"/>
      <c r="J70" s="103"/>
      <c r="K70" s="105"/>
    </row>
    <row r="71" spans="1:11" s="104" customFormat="1" ht="15" hidden="1" customHeight="1" x14ac:dyDescent="0.25">
      <c r="A71" s="102">
        <v>61</v>
      </c>
      <c r="B71" s="404">
        <f>'табель малоимущих'!B65</f>
        <v>0</v>
      </c>
      <c r="C71" s="404"/>
      <c r="D71" s="404"/>
      <c r="E71" s="404"/>
      <c r="F71" s="132">
        <f>'табель малоимущих'!C63</f>
        <v>0</v>
      </c>
      <c r="G71" s="405">
        <v>0</v>
      </c>
      <c r="H71" s="405"/>
      <c r="I71" s="405"/>
      <c r="J71" s="103"/>
      <c r="K71" s="105"/>
    </row>
    <row r="72" spans="1:11" s="104" customFormat="1" ht="15" hidden="1" customHeight="1" x14ac:dyDescent="0.25">
      <c r="A72" s="102">
        <v>62</v>
      </c>
      <c r="B72" s="404">
        <f>'табель малоимущих'!B66</f>
        <v>0</v>
      </c>
      <c r="C72" s="404"/>
      <c r="D72" s="404"/>
      <c r="E72" s="404"/>
      <c r="F72" s="132">
        <f>'табель малоимущих'!C64</f>
        <v>0</v>
      </c>
      <c r="G72" s="405">
        <v>0</v>
      </c>
      <c r="H72" s="405"/>
      <c r="I72" s="405"/>
      <c r="J72" s="103"/>
      <c r="K72" s="105"/>
    </row>
    <row r="73" spans="1:11" s="104" customFormat="1" ht="15" hidden="1" customHeight="1" x14ac:dyDescent="0.25">
      <c r="A73" s="102">
        <v>63</v>
      </c>
      <c r="B73" s="404">
        <f>'табель малоимущих'!B67</f>
        <v>0</v>
      </c>
      <c r="C73" s="404"/>
      <c r="D73" s="404"/>
      <c r="E73" s="404"/>
      <c r="F73" s="132">
        <f>'табель малоимущих'!C65</f>
        <v>0</v>
      </c>
      <c r="G73" s="405">
        <v>0</v>
      </c>
      <c r="H73" s="405"/>
      <c r="I73" s="405"/>
      <c r="J73" s="103"/>
      <c r="K73" s="105"/>
    </row>
    <row r="74" spans="1:11" s="104" customFormat="1" ht="15" hidden="1" customHeight="1" x14ac:dyDescent="0.25">
      <c r="A74" s="102">
        <v>64</v>
      </c>
      <c r="B74" s="404">
        <f>'табель малоимущих'!B68</f>
        <v>0</v>
      </c>
      <c r="C74" s="404"/>
      <c r="D74" s="404"/>
      <c r="E74" s="404"/>
      <c r="F74" s="132">
        <f>'табель малоимущих'!C66</f>
        <v>0</v>
      </c>
      <c r="G74" s="405">
        <v>0</v>
      </c>
      <c r="H74" s="405"/>
      <c r="I74" s="405"/>
      <c r="J74" s="103"/>
      <c r="K74" s="105"/>
    </row>
    <row r="75" spans="1:11" s="104" customFormat="1" ht="15" hidden="1" customHeight="1" x14ac:dyDescent="0.25">
      <c r="A75" s="102">
        <v>65</v>
      </c>
      <c r="B75" s="404">
        <f>'табель малоимущих'!B69</f>
        <v>0</v>
      </c>
      <c r="C75" s="404"/>
      <c r="D75" s="404"/>
      <c r="E75" s="404"/>
      <c r="F75" s="132">
        <f>'табель малоимущих'!C67</f>
        <v>0</v>
      </c>
      <c r="G75" s="405">
        <v>0</v>
      </c>
      <c r="H75" s="405"/>
      <c r="I75" s="405"/>
      <c r="J75" s="103"/>
      <c r="K75" s="105"/>
    </row>
    <row r="76" spans="1:11" s="104" customFormat="1" ht="15" hidden="1" customHeight="1" x14ac:dyDescent="0.25">
      <c r="A76" s="102">
        <v>66</v>
      </c>
      <c r="B76" s="404">
        <f>'табель малоимущих'!B70</f>
        <v>0</v>
      </c>
      <c r="C76" s="404"/>
      <c r="D76" s="404"/>
      <c r="E76" s="404"/>
      <c r="F76" s="132">
        <f>'табель малоимущих'!C68</f>
        <v>0</v>
      </c>
      <c r="G76" s="405">
        <v>0</v>
      </c>
      <c r="H76" s="405"/>
      <c r="I76" s="405"/>
      <c r="J76" s="103"/>
      <c r="K76" s="105"/>
    </row>
    <row r="77" spans="1:11" s="104" customFormat="1" ht="15" hidden="1" customHeight="1" x14ac:dyDescent="0.25">
      <c r="A77" s="102">
        <v>67</v>
      </c>
      <c r="B77" s="402"/>
      <c r="C77" s="402"/>
      <c r="D77" s="402"/>
      <c r="E77" s="402"/>
      <c r="F77" s="132">
        <f>'табель малоимущих'!C69</f>
        <v>0</v>
      </c>
      <c r="G77" s="405">
        <v>0</v>
      </c>
      <c r="H77" s="405"/>
      <c r="I77" s="405"/>
      <c r="J77" s="103"/>
      <c r="K77" s="105"/>
    </row>
    <row r="78" spans="1:11" s="104" customFormat="1" ht="15" hidden="1" customHeight="1" x14ac:dyDescent="0.25">
      <c r="A78" s="102">
        <v>68</v>
      </c>
      <c r="B78" s="402"/>
      <c r="C78" s="402"/>
      <c r="D78" s="402"/>
      <c r="E78" s="402"/>
      <c r="F78" s="132">
        <f>'табель малоимущих'!C70</f>
        <v>0</v>
      </c>
      <c r="G78" s="405">
        <v>0</v>
      </c>
      <c r="H78" s="405"/>
      <c r="I78" s="405"/>
      <c r="J78" s="103"/>
      <c r="K78" s="105"/>
    </row>
    <row r="79" spans="1:11" s="104" customFormat="1" ht="15" hidden="1" customHeight="1" x14ac:dyDescent="0.25">
      <c r="A79" s="102">
        <v>69</v>
      </c>
      <c r="B79" s="402"/>
      <c r="C79" s="402"/>
      <c r="D79" s="402"/>
      <c r="E79" s="402"/>
      <c r="F79" s="132">
        <f>'табель малоимущих'!C71</f>
        <v>0</v>
      </c>
      <c r="G79" s="405">
        <v>0</v>
      </c>
      <c r="H79" s="405"/>
      <c r="I79" s="405"/>
      <c r="J79" s="103"/>
      <c r="K79" s="105"/>
    </row>
    <row r="80" spans="1:11" s="104" customFormat="1" ht="15" hidden="1" customHeight="1" x14ac:dyDescent="0.25">
      <c r="A80" s="102">
        <v>70</v>
      </c>
      <c r="B80" s="402">
        <f>'табель малоимущих'!B44</f>
        <v>0</v>
      </c>
      <c r="C80" s="403" t="s">
        <v>7</v>
      </c>
      <c r="D80" s="403" t="s">
        <v>7</v>
      </c>
      <c r="E80" s="403" t="s">
        <v>7</v>
      </c>
      <c r="F80" s="132">
        <f>'табель малоимущих'!C72</f>
        <v>0</v>
      </c>
      <c r="G80" s="405">
        <v>0</v>
      </c>
      <c r="H80" s="405"/>
      <c r="I80" s="405"/>
      <c r="J80" s="103"/>
      <c r="K80" s="105"/>
    </row>
    <row r="81" spans="1:11" s="104" customFormat="1" ht="15" hidden="1" customHeight="1" x14ac:dyDescent="0.25">
      <c r="A81" s="102">
        <v>71</v>
      </c>
      <c r="B81" s="402">
        <f>'табель малоимущих'!B45</f>
        <v>0</v>
      </c>
      <c r="C81" s="403" t="s">
        <v>7</v>
      </c>
      <c r="D81" s="403" t="s">
        <v>7</v>
      </c>
      <c r="E81" s="403" t="s">
        <v>7</v>
      </c>
      <c r="F81" s="132">
        <f>'табель малоимущих'!C73</f>
        <v>0</v>
      </c>
      <c r="G81" s="405">
        <v>0</v>
      </c>
      <c r="H81" s="405"/>
      <c r="I81" s="405"/>
      <c r="J81" s="103"/>
      <c r="K81" s="105"/>
    </row>
    <row r="82" spans="1:11" s="104" customFormat="1" ht="15" hidden="1" customHeight="1" x14ac:dyDescent="0.25">
      <c r="A82" s="102">
        <v>72</v>
      </c>
      <c r="B82" s="402">
        <f>'табель малоимущих'!B46</f>
        <v>0</v>
      </c>
      <c r="C82" s="403" t="s">
        <v>7</v>
      </c>
      <c r="D82" s="403" t="s">
        <v>7</v>
      </c>
      <c r="E82" s="403" t="s">
        <v>7</v>
      </c>
      <c r="F82" s="132">
        <f>'табель малоимущих'!C74</f>
        <v>0</v>
      </c>
      <c r="G82" s="405">
        <v>0</v>
      </c>
      <c r="H82" s="405"/>
      <c r="I82" s="405"/>
      <c r="J82" s="103"/>
      <c r="K82" s="105"/>
    </row>
    <row r="83" spans="1:11" s="104" customFormat="1" ht="15" hidden="1" customHeight="1" x14ac:dyDescent="0.25">
      <c r="A83" s="102">
        <v>73</v>
      </c>
      <c r="B83" s="402">
        <f>'табель малоимущих'!B47</f>
        <v>0</v>
      </c>
      <c r="C83" s="403" t="s">
        <v>7</v>
      </c>
      <c r="D83" s="403" t="s">
        <v>7</v>
      </c>
      <c r="E83" s="403" t="s">
        <v>7</v>
      </c>
      <c r="F83" s="132">
        <f>'табель малоимущих'!C75</f>
        <v>0</v>
      </c>
      <c r="G83" s="405">
        <v>0</v>
      </c>
      <c r="H83" s="405"/>
      <c r="I83" s="405"/>
      <c r="J83" s="103"/>
      <c r="K83" s="105"/>
    </row>
    <row r="84" spans="1:11" s="98" customFormat="1" ht="15" customHeight="1" x14ac:dyDescent="0.25">
      <c r="A84" s="221"/>
      <c r="B84" s="414" t="s">
        <v>3</v>
      </c>
      <c r="C84" s="415"/>
      <c r="D84" s="415"/>
      <c r="E84" s="416"/>
      <c r="F84" s="83"/>
      <c r="G84" s="423" t="e">
        <f>SUM(G18:I49)</f>
        <v>#REF!</v>
      </c>
      <c r="H84" s="423"/>
      <c r="I84" s="423"/>
      <c r="J84" s="106"/>
      <c r="K84" s="107"/>
    </row>
    <row r="85" spans="1:11" s="50" customFormat="1" ht="15" customHeight="1" x14ac:dyDescent="0.2">
      <c r="J85" s="52"/>
    </row>
    <row r="86" spans="1:11" s="50" customFormat="1" ht="27" hidden="1" customHeight="1" outlineLevel="1" x14ac:dyDescent="0.2">
      <c r="A86" s="50" t="s">
        <v>43</v>
      </c>
      <c r="C86" s="53"/>
      <c r="E86" s="108" t="s">
        <v>82</v>
      </c>
      <c r="J86" s="52"/>
    </row>
    <row r="87" spans="1:11" s="56" customFormat="1" ht="9.1999999999999993" hidden="1" customHeight="1" outlineLevel="1" x14ac:dyDescent="0.2">
      <c r="C87" s="109" t="s">
        <v>18</v>
      </c>
      <c r="E87" s="60" t="s">
        <v>19</v>
      </c>
      <c r="J87" s="61"/>
    </row>
    <row r="88" spans="1:11" s="50" customFormat="1" ht="15.2" hidden="1" customHeight="1" outlineLevel="1" x14ac:dyDescent="0.2">
      <c r="A88" s="50" t="s">
        <v>44</v>
      </c>
      <c r="C88" s="53"/>
      <c r="E88" s="108" t="s">
        <v>90</v>
      </c>
      <c r="J88" s="52"/>
    </row>
    <row r="89" spans="1:11" s="56" customFormat="1" ht="24" hidden="1" customHeight="1" outlineLevel="1" x14ac:dyDescent="0.2">
      <c r="C89" s="109" t="s">
        <v>18</v>
      </c>
      <c r="E89" s="60" t="s">
        <v>19</v>
      </c>
      <c r="H89" s="58"/>
      <c r="I89" s="58"/>
      <c r="J89" s="61"/>
    </row>
    <row r="90" spans="1:11" s="50" customFormat="1" ht="15.2" hidden="1" customHeight="1" outlineLevel="1" x14ac:dyDescent="0.25">
      <c r="C90" s="418"/>
      <c r="D90" s="418"/>
      <c r="J90" s="52"/>
    </row>
    <row r="91" spans="1:11" s="56" customFormat="1" ht="13.5" hidden="1" customHeight="1" outlineLevel="1" x14ac:dyDescent="0.2">
      <c r="B91" s="109"/>
      <c r="C91" s="60"/>
      <c r="H91" s="58"/>
      <c r="I91" s="58"/>
      <c r="J91" s="61"/>
    </row>
    <row r="92" spans="1:11" s="114" customFormat="1" ht="12.75" hidden="1" customHeight="1" outlineLevel="1" x14ac:dyDescent="0.2">
      <c r="A92" s="424" t="e">
        <f>G84</f>
        <v>#REF!</v>
      </c>
      <c r="B92" s="424"/>
      <c r="C92" s="110" t="e">
        <f>FLOOR(A92/1000000,1)</f>
        <v>#REF!</v>
      </c>
      <c r="D92" s="111" t="e">
        <f>IF(C92&gt;5,"",IF(C92=1,"Один ",IF(C92=2,"Два ",IF(C92=3,"Три ",IF(C92=4,"Четыре ",IF(C92=5,"Пять ",IF(C92=0,"")))))))</f>
        <v>#REF!</v>
      </c>
      <c r="E92" s="111" t="e">
        <f>IF(C92&lt;5,"",IF(C92=6,"Шесть ",IF(C92=7,"Семь ",IF(C92=8,"Восемь ",IF(C92=9,"Девять ",IF(C92=0,"",IF(C92=5,"")))))))</f>
        <v>#REF!</v>
      </c>
      <c r="F92" s="111" t="e">
        <f>IF(C92=0,"",IF(C92=1,"миллион ",IF(AND(C92&gt;=2,C92&lt;=4),"миллиона ","миллионов ")))</f>
        <v>#REF!</v>
      </c>
      <c r="G92" s="112"/>
      <c r="H92" s="112"/>
      <c r="I92" s="113"/>
    </row>
    <row r="93" spans="1:11" s="114" customFormat="1" ht="12.75" hidden="1" customHeight="1" outlineLevel="1" x14ac:dyDescent="0.2">
      <c r="B93" s="115"/>
      <c r="C93" s="110" t="e">
        <f>FLOOR((A92-C92*1000000)/100000,1)</f>
        <v>#REF!</v>
      </c>
      <c r="D93" s="111" t="e">
        <f>IF(C93&gt;5,"",IF(C93=1,"Сто ",IF(C93=2,"Двести ",IF(C93=3,"Триста ",IF(C93=4,"Четыреста ",IF(C93=5,"Пятьсот ",IF(C93=0,"")))))))</f>
        <v>#REF!</v>
      </c>
      <c r="E93" s="111" t="e">
        <f>IF(C93&lt;5,"",IF(C93=6,"Шестьсот ",IF(C93=7,"Семьсот ",IF(C93=8,"Восемьсот ",IF(C93=9,"Девятьсот ",IF(C93=0,"",IF(C93=5,"")))))))</f>
        <v>#REF!</v>
      </c>
      <c r="F93" s="111" t="e">
        <f>IF(C93=0,"",IF(AND(C94=0,C95=0),"тысяч ",""))</f>
        <v>#REF!</v>
      </c>
      <c r="G93" s="112"/>
      <c r="H93" s="112"/>
      <c r="I93" s="113"/>
    </row>
    <row r="94" spans="1:11" s="114" customFormat="1" ht="12.75" hidden="1" customHeight="1" outlineLevel="1" x14ac:dyDescent="0.2">
      <c r="B94" s="115"/>
      <c r="C94" s="110" t="e">
        <f>FLOOR((A92-(C92*1000000)-(C93*100000))/10000,1)</f>
        <v>#REF!</v>
      </c>
      <c r="D94" s="111" t="e">
        <f>IF(C94&gt;5,"",IF(AND(C94=1,C95=0),"Десять ",IF(C94=2,"Двадцать ",IF(C94=3,"Тридцать ",IF(C94=4,"Сорок ",IF(C94=5,"Пятьдесят ",IF(C94=0,"","")))))))</f>
        <v>#REF!</v>
      </c>
      <c r="E94" s="111" t="e">
        <f>IF(C94&lt;5,"",IF(C94=6,"Шестьдесят ",IF(C94=7,"Семьдесят ",IF(C94=8,"Восемьдесят ",IF(C94=9,"Девяносто ",IF(C94=0,"",IF(C94=5,"")))))))</f>
        <v>#REF!</v>
      </c>
      <c r="F94" s="111" t="e">
        <f>IF(C94=0,"",IF(C95=0,"тысяч ",""))</f>
        <v>#REF!</v>
      </c>
      <c r="G94" s="111" t="e">
        <f>IF(C94&lt;&gt;1,"",IF(C95=1,"Одиннадцать ",IF(C95=2,"Двенадцать ",IF(C95=3,"Тринадцать ",IF(C95=4,"Четырнадцать ",IF(C95=5,"Пятнадцать ",IF(C95=6,"Шестнадцать ",IF(C95=7,"Семнадцать ",""))))))))</f>
        <v>#REF!</v>
      </c>
      <c r="H94" s="112" t="e">
        <f>IF(C94&lt;&gt;1,"",IF(C95=0,"",IF(C95=8,"Восемнадцать ",IF(C95=9,"Девятнадцать ",""))))</f>
        <v>#REF!</v>
      </c>
      <c r="I94" s="113"/>
    </row>
    <row r="95" spans="1:11" s="114" customFormat="1" ht="12.75" hidden="1" customHeight="1" outlineLevel="1" x14ac:dyDescent="0.2">
      <c r="B95" s="115"/>
      <c r="C95" s="110" t="e">
        <f>FLOOR((A92-(C92*1000000)-(C93*100000)-(C94*10000))/1000,1)</f>
        <v>#REF!</v>
      </c>
      <c r="D95" s="111" t="e">
        <f>IF(C95&gt;5,"",IF(C94=1,"",IF(C95=1,"Одна ",IF(C95=2,"Две ",IF(C95=3,"Три ",IF(C95=4,"Четыре ",IF(C95=5,"Пять ",IF(C95=0,""))))))))</f>
        <v>#REF!</v>
      </c>
      <c r="E95" s="111" t="e">
        <f>IF(C95&lt;5,"",IF(C94=1,"",IF(C95=6,"Шесть ",IF(C95=7,"Семь ",IF(C95=8,"Восемь ",IF(C95=9,"Девять ",IF(C95=0,"",IF(C95=5,""))))))))</f>
        <v>#REF!</v>
      </c>
      <c r="F95" s="111" t="e">
        <f>IF(C95=0,"",IF(AND(C95=1,C94=1),"тысяч ",IF(C95=1,"тысяча ",IF(C94=1,"тысяч ",IF(AND(C95&gt;1,C95&lt;5),"тысячи ","тысяч ")))))</f>
        <v>#REF!</v>
      </c>
      <c r="G95" s="112"/>
      <c r="H95" s="112"/>
      <c r="I95" s="113"/>
    </row>
    <row r="96" spans="1:11" s="114" customFormat="1" ht="12.75" hidden="1" customHeight="1" outlineLevel="1" x14ac:dyDescent="0.2">
      <c r="B96" s="115"/>
      <c r="C96" s="110" t="e">
        <f>FLOOR((A92-(C92*1000000)-(C93*100000)-(C94*10000)-(C95*1000))/100,1)</f>
        <v>#REF!</v>
      </c>
      <c r="D96" s="111" t="e">
        <f>IF(C96&gt;5,"",IF(C96=1,"Сто ",IF(C96=2,"Двести ",IF(C96=3,"Триста ",IF(C96=4,"Четыреста ",IF(C96=5,"Пятьсот ",IF(C96=0,"")))))))</f>
        <v>#REF!</v>
      </c>
      <c r="E96" s="111" t="e">
        <f>IF(C96&lt;5,"",IF(C96=6,"Шестьсот ",IF(C96=7,"Семьсот ",IF(C96=8,"Восемьсот ",IF(C96=9,"Девятьсот ",IF(C96=0,"",IF(C96=5,"")))))))</f>
        <v>#REF!</v>
      </c>
      <c r="F96" s="112"/>
      <c r="G96" s="112"/>
      <c r="H96" s="112"/>
      <c r="I96" s="113"/>
    </row>
    <row r="97" spans="1:11" s="114" customFormat="1" ht="12.75" hidden="1" customHeight="1" outlineLevel="1" x14ac:dyDescent="0.2">
      <c r="B97" s="115"/>
      <c r="C97" s="110" t="e">
        <f>FLOOR((A92-(C92*1000000)-(C93*100000)-(C94*10000)-(C95*1000)-(C96*100))/10,1)</f>
        <v>#REF!</v>
      </c>
      <c r="D97" s="111" t="e">
        <f>IF(C97&gt;5,"",IF(C97=1,"",IF(C97=2,"Двадцать ",IF(C97=3,"Тридцать ",IF(C97=4,"Сорок ",IF(C97=5,"Пятьдесят ",IF(C97=0,"")))))))</f>
        <v>#REF!</v>
      </c>
      <c r="E97" s="111" t="e">
        <f>IF(C97&lt;5,"",IF(C97=6,"Шестьдесят ",IF(C97=7,"Семьдесят ",IF(C97=8,"Восемьдесят ",IF(C97=9,"Девяносто ",IF(C97=0,"",IF(C97=5,"")))))))</f>
        <v>#REF!</v>
      </c>
      <c r="F97" s="112"/>
      <c r="G97" s="111" t="e">
        <f>IF(C97&lt;&gt;1,"",IF(C98=1,"Одиннадцать ",IF(C98=2,"Двенадцать ",IF(C98=3,"Тринадцать ",IF(C98=4,"Четырнадцать ",IF(C98=5,"Пятнадцать ",IF(C98=6,"Шестнадцать ",IF(C98=7,"Семнадцать ",""))))))))</f>
        <v>#REF!</v>
      </c>
      <c r="H97" s="111" t="e">
        <f>IF(C97&lt;&gt;1,"",IF(C98=0,"Десять ",IF(C98=8,"Восемнадцать ",IF(C98=9,"Девятнадцать ",""))))</f>
        <v>#REF!</v>
      </c>
      <c r="I97" s="113"/>
    </row>
    <row r="98" spans="1:11" s="114" customFormat="1" ht="12.75" hidden="1" customHeight="1" outlineLevel="1" x14ac:dyDescent="0.2">
      <c r="B98" s="115"/>
      <c r="C98" s="110" t="e">
        <f>FLOOR((A92-(C92*1000000)-(C93*100000)-(C94*10000)-(C95*1000)-(C96*100)-(C97*10)),1)</f>
        <v>#REF!</v>
      </c>
      <c r="D98" s="111" t="e">
        <f>IF(C98&gt;5,"",IF(C97=1,"",IF(C98=1,"Один ",IF(C98=2,"Два ",IF(C98=3,"Три ",IF(C98=4,"Четыре ",IF(C98=5,"Пять ",IF(C98=0," "))))))))</f>
        <v>#REF!</v>
      </c>
      <c r="E98" s="111" t="e">
        <f>IF(C98&lt;5,"",IF(C97=1,"",IF(C98=6,"Шесть ",IF(C98=7,"Семь ",IF(C98=8,"Восемь ",IF(C98=9,"Девять ",IF(C98=0,"",IF(C98=5,""))))))))</f>
        <v>#REF!</v>
      </c>
      <c r="F98" s="112"/>
      <c r="G98" s="112"/>
      <c r="H98" s="112"/>
      <c r="I98" s="111" t="e">
        <f>IF(C97=1,"рублей",IF(C98=0,"рублей",IF(C98=1,"рубль",IF(AND(C98&gt;1,C98&lt;5),"рубля","рублей"))))</f>
        <v>#REF!</v>
      </c>
    </row>
    <row r="99" spans="1:11" s="114" customFormat="1" ht="12.75" hidden="1" customHeight="1" outlineLevel="1" x14ac:dyDescent="0.2">
      <c r="A99" s="116" t="e">
        <f>REPLACE(LOWER(CONCATENATE(D92,E92,F92,D93,E93,F93,D94,E94,F94,G94,H94,D95,E95,F95,G95,H95,D96,E96,F96,D97,E97,F97,G97,H97,D98,E98,F98,G98,H98,I98)),1,1,LEFT(CONCATENATE(D92,E92,F92,D93,E93,F93,D94,E94,F94,G94,H94,D95,E95,F95,G95,H95,D96,E96,F96,D97,E97,F97,G97,H97,D98,E98,F98,G98,H98,I98),1))</f>
        <v>#REF!</v>
      </c>
      <c r="B99" s="117"/>
      <c r="C99" s="116"/>
      <c r="D99" s="116"/>
      <c r="E99" s="116"/>
      <c r="F99" s="116"/>
      <c r="G99" s="116"/>
      <c r="H99" s="116"/>
      <c r="I99" s="118"/>
      <c r="J99" s="117"/>
      <c r="K99" s="117"/>
    </row>
    <row r="100" spans="1:11" s="114" customFormat="1" ht="12.75" hidden="1" customHeight="1" outlineLevel="1" x14ac:dyDescent="0.2">
      <c r="C100" s="110" t="e">
        <f>ROUND((A102-INT(A102))*100,0)</f>
        <v>#REF!</v>
      </c>
      <c r="D100" s="119" t="e">
        <f>IF(C100&lt;10,CONCATENATE(0,C100),C100)</f>
        <v>#REF!</v>
      </c>
      <c r="E100" s="111" t="e">
        <f>C100-(FLOOR(C100/10,1)*10)</f>
        <v>#REF!</v>
      </c>
      <c r="F100" s="111" t="s">
        <v>45</v>
      </c>
      <c r="G100" s="112"/>
      <c r="H100" s="112"/>
      <c r="I100" s="120"/>
    </row>
    <row r="101" spans="1:11" s="114" customFormat="1" ht="12.75" hidden="1" customHeight="1" outlineLevel="1" x14ac:dyDescent="0.2">
      <c r="A101" s="116" t="e">
        <f>CONCATENATE(D100,F100)</f>
        <v>#REF!</v>
      </c>
      <c r="B101" s="117"/>
      <c r="C101" s="112"/>
      <c r="D101" s="121"/>
      <c r="E101" s="112"/>
      <c r="F101" s="112"/>
      <c r="G101" s="112"/>
      <c r="H101" s="112"/>
      <c r="I101" s="113"/>
    </row>
    <row r="102" spans="1:11" s="114" customFormat="1" ht="12.75" hidden="1" customHeight="1" outlineLevel="1" x14ac:dyDescent="0.2">
      <c r="A102" s="122" t="e">
        <f>A103-INT(A103)</f>
        <v>#REF!</v>
      </c>
      <c r="B102" s="122"/>
      <c r="C102" s="123"/>
      <c r="D102" s="113"/>
      <c r="E102" s="113"/>
      <c r="F102" s="113"/>
      <c r="G102" s="113"/>
      <c r="H102" s="113"/>
      <c r="I102" s="113"/>
    </row>
    <row r="103" spans="1:11" s="114" customFormat="1" ht="12.75" hidden="1" customHeight="1" outlineLevel="1" x14ac:dyDescent="0.2">
      <c r="A103" s="422" t="e">
        <f>G84</f>
        <v>#REF!</v>
      </c>
      <c r="B103" s="422"/>
      <c r="C103" s="113"/>
      <c r="D103" s="113"/>
      <c r="E103" s="113"/>
      <c r="F103" s="113"/>
      <c r="G103" s="113"/>
      <c r="H103" s="113"/>
      <c r="I103" s="113"/>
    </row>
    <row r="104" spans="1:11" ht="15.2" hidden="1" customHeight="1" outlineLevel="1" x14ac:dyDescent="0.2"/>
    <row r="105" spans="1:11" ht="15.2" hidden="1" customHeight="1" outlineLevel="1" x14ac:dyDescent="0.2"/>
    <row r="106" spans="1:11" ht="15.2" customHeight="1" collapsed="1" x14ac:dyDescent="0.2"/>
    <row r="107" spans="1:11" ht="15.2" customHeight="1" x14ac:dyDescent="0.2"/>
    <row r="108" spans="1:11" ht="15.2" customHeight="1" x14ac:dyDescent="0.2">
      <c r="J108" s="68"/>
    </row>
    <row r="109" spans="1:11" ht="15.2" customHeight="1" x14ac:dyDescent="0.2">
      <c r="J109" s="68"/>
    </row>
    <row r="110" spans="1:11" ht="15.2" customHeight="1" x14ac:dyDescent="0.2">
      <c r="J110" s="68"/>
    </row>
    <row r="111" spans="1:11" ht="15.2" customHeight="1" x14ac:dyDescent="0.2">
      <c r="J111" s="68"/>
    </row>
    <row r="112" spans="1:11" ht="15.2" customHeight="1" x14ac:dyDescent="0.2">
      <c r="J112" s="68"/>
    </row>
    <row r="113" spans="10:10" ht="15.2" customHeight="1" x14ac:dyDescent="0.2">
      <c r="J113" s="68"/>
    </row>
    <row r="114" spans="10:10" ht="15.2" customHeight="1" x14ac:dyDescent="0.2">
      <c r="J114" s="68"/>
    </row>
    <row r="115" spans="10:10" ht="15.2" customHeight="1" x14ac:dyDescent="0.2">
      <c r="J115" s="68"/>
    </row>
    <row r="116" spans="10:10" ht="15.2" customHeight="1" x14ac:dyDescent="0.2">
      <c r="J116" s="68"/>
    </row>
    <row r="117" spans="10:10" ht="15.2" customHeight="1" x14ac:dyDescent="0.2">
      <c r="J117" s="68"/>
    </row>
    <row r="118" spans="10:10" ht="15.2" customHeight="1" x14ac:dyDescent="0.2">
      <c r="J118" s="68"/>
    </row>
    <row r="119" spans="10:10" ht="15.2" customHeight="1" x14ac:dyDescent="0.2">
      <c r="J119" s="68"/>
    </row>
    <row r="120" spans="10:10" ht="15.2" customHeight="1" x14ac:dyDescent="0.2">
      <c r="J120" s="68"/>
    </row>
    <row r="121" spans="10:10" ht="15.2" customHeight="1" x14ac:dyDescent="0.2">
      <c r="J121" s="68"/>
    </row>
    <row r="122" spans="10:10" ht="15.2" customHeight="1" x14ac:dyDescent="0.2">
      <c r="J122" s="68"/>
    </row>
    <row r="123" spans="10:10" ht="15.2" customHeight="1" x14ac:dyDescent="0.2">
      <c r="J123" s="68"/>
    </row>
    <row r="124" spans="10:10" ht="15.2" customHeight="1" x14ac:dyDescent="0.2">
      <c r="J124" s="68"/>
    </row>
    <row r="125" spans="10:10" ht="15.2" customHeight="1" x14ac:dyDescent="0.2">
      <c r="J125" s="68"/>
    </row>
    <row r="126" spans="10:10" ht="15.2" customHeight="1" x14ac:dyDescent="0.2">
      <c r="J126" s="68"/>
    </row>
    <row r="127" spans="10:10" ht="15.2" customHeight="1" x14ac:dyDescent="0.2">
      <c r="J127" s="68"/>
    </row>
    <row r="128" spans="10:10" ht="15.2" customHeight="1" x14ac:dyDescent="0.2">
      <c r="J128" s="68"/>
    </row>
    <row r="129" spans="1:10" ht="15.2" customHeight="1" x14ac:dyDescent="0.2">
      <c r="J129" s="68"/>
    </row>
    <row r="130" spans="1:10" ht="15.2" customHeight="1" x14ac:dyDescent="0.2">
      <c r="J130" s="68"/>
    </row>
    <row r="131" spans="1:10" ht="15.2" customHeight="1" x14ac:dyDescent="0.2">
      <c r="J131" s="68"/>
    </row>
    <row r="132" spans="1:10" ht="15.2" customHeight="1" x14ac:dyDescent="0.2">
      <c r="J132" s="68"/>
    </row>
    <row r="133" spans="1:10" ht="15.2" customHeight="1" x14ac:dyDescent="0.2">
      <c r="J133" s="68"/>
    </row>
    <row r="134" spans="1:10" ht="15.2" customHeight="1" x14ac:dyDescent="0.2">
      <c r="J134" s="68"/>
    </row>
    <row r="135" spans="1:10" ht="15.2" customHeight="1" x14ac:dyDescent="0.2">
      <c r="J135" s="68"/>
    </row>
    <row r="136" spans="1:10" ht="15.2" hidden="1" customHeight="1" x14ac:dyDescent="0.25">
      <c r="A136" s="425" t="s">
        <v>46</v>
      </c>
      <c r="B136" s="425"/>
      <c r="J136" s="68"/>
    </row>
    <row r="137" spans="1:10" ht="15.2" hidden="1" customHeight="1" x14ac:dyDescent="0.2">
      <c r="J137" s="68"/>
    </row>
    <row r="138" spans="1:10" ht="21.95" hidden="1" customHeight="1" x14ac:dyDescent="0.2">
      <c r="A138" s="124">
        <v>1</v>
      </c>
      <c r="B138" s="413" t="s">
        <v>47</v>
      </c>
      <c r="C138" s="413"/>
      <c r="D138" s="413"/>
      <c r="E138" s="413"/>
      <c r="F138" s="413"/>
      <c r="J138" s="68"/>
    </row>
    <row r="139" spans="1:10" ht="21.95" hidden="1" customHeight="1" x14ac:dyDescent="0.2">
      <c r="A139" s="124">
        <v>2</v>
      </c>
      <c r="B139" s="413" t="s">
        <v>48</v>
      </c>
      <c r="C139" s="413"/>
      <c r="D139" s="413"/>
      <c r="E139" s="413"/>
      <c r="F139" s="413"/>
      <c r="J139" s="68"/>
    </row>
    <row r="140" spans="1:10" ht="21.95" hidden="1" customHeight="1" x14ac:dyDescent="0.2">
      <c r="A140" s="124">
        <v>3</v>
      </c>
      <c r="B140" s="413" t="s">
        <v>49</v>
      </c>
      <c r="C140" s="413"/>
      <c r="D140" s="413"/>
      <c r="E140" s="413"/>
      <c r="F140" s="413"/>
      <c r="J140" s="68"/>
    </row>
    <row r="141" spans="1:10" ht="21.95" hidden="1" customHeight="1" x14ac:dyDescent="0.2">
      <c r="A141" s="124">
        <v>4</v>
      </c>
      <c r="B141" s="413" t="s">
        <v>50</v>
      </c>
      <c r="C141" s="413"/>
      <c r="D141" s="413"/>
      <c r="E141" s="413"/>
      <c r="F141" s="413"/>
      <c r="J141" s="68"/>
    </row>
    <row r="142" spans="1:10" ht="21.95" hidden="1" customHeight="1" x14ac:dyDescent="0.2">
      <c r="A142" s="124">
        <v>5</v>
      </c>
      <c r="B142" s="413" t="s">
        <v>51</v>
      </c>
      <c r="C142" s="413"/>
      <c r="D142" s="413"/>
      <c r="E142" s="413"/>
      <c r="F142" s="413"/>
      <c r="J142" s="68"/>
    </row>
    <row r="143" spans="1:10" ht="21.95" hidden="1" customHeight="1" x14ac:dyDescent="0.2">
      <c r="A143" s="124">
        <v>6</v>
      </c>
      <c r="B143" s="413" t="s">
        <v>52</v>
      </c>
      <c r="C143" s="413"/>
      <c r="D143" s="413"/>
      <c r="E143" s="413"/>
      <c r="F143" s="413"/>
      <c r="J143" s="68"/>
    </row>
    <row r="144" spans="1:10" ht="21.95" hidden="1" customHeight="1" x14ac:dyDescent="0.2">
      <c r="A144" s="124">
        <v>7</v>
      </c>
      <c r="B144" s="413" t="s">
        <v>53</v>
      </c>
      <c r="C144" s="413"/>
      <c r="D144" s="413"/>
      <c r="E144" s="413"/>
      <c r="F144" s="413"/>
      <c r="J144" s="68"/>
    </row>
    <row r="145" spans="1:10" ht="21.95" hidden="1" customHeight="1" x14ac:dyDescent="0.25">
      <c r="A145" s="125"/>
      <c r="B145" s="126" t="s">
        <v>3</v>
      </c>
      <c r="C145" s="98"/>
      <c r="D145" s="98"/>
      <c r="E145" s="98"/>
      <c r="F145" s="98"/>
      <c r="J145" s="68"/>
    </row>
    <row r="146" spans="1:10" ht="21.95" hidden="1" customHeight="1" x14ac:dyDescent="0.2">
      <c r="A146" s="50" t="s">
        <v>54</v>
      </c>
      <c r="B146" s="50"/>
      <c r="C146" s="50"/>
      <c r="D146" s="50"/>
      <c r="E146" s="50"/>
      <c r="F146" s="50"/>
      <c r="J146" s="68"/>
    </row>
    <row r="147" spans="1:10" ht="21.95" hidden="1" customHeight="1" x14ac:dyDescent="0.2">
      <c r="A147" s="50" t="s">
        <v>55</v>
      </c>
      <c r="B147" s="50"/>
      <c r="C147" s="50"/>
      <c r="D147" s="50"/>
      <c r="E147" s="50"/>
      <c r="F147" s="50"/>
      <c r="J147" s="68"/>
    </row>
    <row r="148" spans="1:10" ht="21.95" hidden="1" customHeight="1" x14ac:dyDescent="0.2">
      <c r="A148" s="50"/>
      <c r="B148" s="50"/>
      <c r="C148" s="50"/>
      <c r="D148" s="50"/>
      <c r="E148" s="50"/>
      <c r="F148" s="50"/>
      <c r="J148" s="68"/>
    </row>
    <row r="149" spans="1:10" ht="21.95" hidden="1" customHeight="1" x14ac:dyDescent="0.25">
      <c r="A149" s="50" t="s">
        <v>56</v>
      </c>
      <c r="B149" s="50"/>
      <c r="C149" s="418"/>
      <c r="D149" s="418"/>
      <c r="E149" s="50"/>
      <c r="F149" s="50"/>
      <c r="J149" s="68"/>
    </row>
    <row r="150" spans="1:10" ht="21.95" hidden="1" customHeight="1" x14ac:dyDescent="0.2">
      <c r="A150" s="56"/>
      <c r="B150" s="109" t="s">
        <v>18</v>
      </c>
      <c r="C150" s="60" t="s">
        <v>19</v>
      </c>
      <c r="D150" s="56"/>
      <c r="E150" s="56"/>
      <c r="F150" s="56"/>
      <c r="J150" s="68"/>
    </row>
    <row r="151" spans="1:10" ht="21.95" hidden="1" customHeight="1" x14ac:dyDescent="0.2">
      <c r="A151" s="50"/>
      <c r="B151" s="50"/>
      <c r="C151" s="50"/>
      <c r="D151" s="50"/>
      <c r="E151" s="50"/>
      <c r="F151" s="50"/>
      <c r="J151" s="68"/>
    </row>
    <row r="152" spans="1:10" ht="21.95" hidden="1" customHeight="1" x14ac:dyDescent="0.2">
      <c r="A152" s="50"/>
      <c r="B152" s="50"/>
      <c r="C152" s="50"/>
      <c r="D152" s="50"/>
      <c r="E152" s="50"/>
      <c r="F152" s="50"/>
      <c r="J152" s="68"/>
    </row>
    <row r="153" spans="1:10" ht="21.95" hidden="1" customHeight="1" x14ac:dyDescent="0.2">
      <c r="A153" s="419" t="e">
        <f>#REF!</f>
        <v>#REF!</v>
      </c>
      <c r="B153" s="419"/>
      <c r="C153" s="112"/>
      <c r="D153" s="104"/>
      <c r="E153" s="104"/>
      <c r="F153" s="104"/>
      <c r="J153" s="68"/>
    </row>
    <row r="154" spans="1:10" ht="21.95" hidden="1" customHeight="1" x14ac:dyDescent="0.2">
      <c r="A154" s="104"/>
      <c r="B154" s="420"/>
      <c r="C154" s="112"/>
      <c r="D154" s="104"/>
      <c r="E154" s="104"/>
      <c r="F154" s="104"/>
      <c r="J154" s="68"/>
    </row>
    <row r="155" spans="1:10" ht="21.95" hidden="1" customHeight="1" x14ac:dyDescent="0.2">
      <c r="A155" s="104"/>
      <c r="B155" s="420"/>
      <c r="C155" s="112" t="e">
        <f>IF(#REF!&lt;&gt;1,"",IF(#REF!=0,"",IF(#REF!=8,"Восемнадцать ",IF(#REF!=9,"Девятнадцать ",""))))</f>
        <v>#REF!</v>
      </c>
      <c r="D155" s="104"/>
      <c r="E155" s="104"/>
      <c r="F155" s="104"/>
      <c r="J155" s="68"/>
    </row>
    <row r="156" spans="1:10" ht="21.95" hidden="1" customHeight="1" x14ac:dyDescent="0.2">
      <c r="A156" s="104"/>
      <c r="B156" s="420"/>
      <c r="C156" s="112"/>
      <c r="D156" s="104"/>
      <c r="E156" s="104"/>
      <c r="F156" s="104"/>
      <c r="J156" s="68"/>
    </row>
    <row r="157" spans="1:10" ht="21.95" hidden="1" customHeight="1" x14ac:dyDescent="0.2">
      <c r="A157" s="104"/>
      <c r="B157" s="420"/>
      <c r="C157" s="112"/>
      <c r="D157" s="104"/>
      <c r="E157" s="104"/>
      <c r="F157" s="104"/>
      <c r="J157" s="68"/>
    </row>
    <row r="158" spans="1:10" ht="21.95" hidden="1" customHeight="1" x14ac:dyDescent="0.2">
      <c r="A158" s="104"/>
      <c r="B158" s="420"/>
      <c r="C158" s="111" t="e">
        <f>IF(#REF!&lt;&gt;1,"",IF(#REF!=0,"Десять ",IF(#REF!=8,"Восемнадцать ",IF(#REF!=9,"Девятнадцать ",""))))</f>
        <v>#REF!</v>
      </c>
      <c r="D158" s="104"/>
      <c r="E158" s="104"/>
      <c r="F158" s="104"/>
      <c r="J158" s="68"/>
    </row>
    <row r="159" spans="1:10" ht="21.95" hidden="1" customHeight="1" x14ac:dyDescent="0.2">
      <c r="A159" s="104"/>
      <c r="B159" s="420"/>
      <c r="C159" s="112"/>
      <c r="D159" s="104"/>
      <c r="E159" s="104"/>
      <c r="F159" s="104"/>
      <c r="J159" s="68"/>
    </row>
    <row r="160" spans="1:10" ht="21.95" hidden="1" customHeight="1" x14ac:dyDescent="0.2">
      <c r="A160" s="116" t="e">
        <f>REPLACE(LOWER(CONCATENATE(#REF!,#REF!,#REF!,#REF!,#REF!,#REF!,#REF!,#REF!,#REF!,#REF!,C155,#REF!,#REF!,#REF!,#REF!,C156,#REF!,#REF!,#REF!,#REF!,#REF!,#REF!,#REF!,C158,#REF!,#REF!,#REF!,#REF!,C159,#REF!)),1,1,LEFT(CONCATENATE(#REF!,#REF!,#REF!,#REF!,#REF!,#REF!,#REF!,#REF!,#REF!,#REF!,C155,#REF!,#REF!,#REF!,#REF!,C156,#REF!,#REF!,#REF!,#REF!,#REF!,#REF!,#REF!,C158,#REF!,#REF!,#REF!,#REF!,C159,#REF!),1))</f>
        <v>#REF!</v>
      </c>
      <c r="B160" s="116"/>
      <c r="C160" s="116"/>
      <c r="D160" s="116"/>
      <c r="E160" s="104"/>
      <c r="F160" s="104"/>
      <c r="J160" s="68"/>
    </row>
    <row r="161" spans="1:10" ht="21.95" hidden="1" customHeight="1" x14ac:dyDescent="0.2">
      <c r="A161" s="104"/>
      <c r="B161" s="104"/>
      <c r="C161" s="112"/>
      <c r="D161" s="104"/>
      <c r="E161" s="104"/>
      <c r="F161" s="104"/>
      <c r="J161" s="68"/>
    </row>
    <row r="162" spans="1:10" ht="21.95" hidden="1" customHeight="1" x14ac:dyDescent="0.2">
      <c r="A162" s="116" t="e">
        <f>CONCATENATE(#REF!,#REF!)</f>
        <v>#REF!</v>
      </c>
      <c r="B162" s="116"/>
      <c r="C162" s="112"/>
      <c r="D162" s="104"/>
      <c r="E162" s="104"/>
      <c r="F162" s="104"/>
      <c r="J162" s="68"/>
    </row>
    <row r="163" spans="1:10" ht="21.95" hidden="1" customHeight="1" x14ac:dyDescent="0.2">
      <c r="A163" s="421" t="e">
        <f>A164-INT(A164)</f>
        <v>#REF!</v>
      </c>
      <c r="B163" s="421"/>
      <c r="C163" s="112"/>
      <c r="D163" s="104"/>
      <c r="E163" s="104"/>
      <c r="F163" s="104"/>
      <c r="J163" s="68"/>
    </row>
    <row r="164" spans="1:10" ht="21.95" hidden="1" customHeight="1" x14ac:dyDescent="0.2">
      <c r="A164" s="417" t="e">
        <f>#REF!</f>
        <v>#REF!</v>
      </c>
      <c r="B164" s="417"/>
      <c r="C164" s="112"/>
      <c r="D164" s="104"/>
      <c r="E164" s="104"/>
      <c r="F164" s="104"/>
      <c r="J164" s="68"/>
    </row>
    <row r="165" spans="1:10" ht="21.95" customHeight="1" collapsed="1" x14ac:dyDescent="0.2">
      <c r="A165" s="50"/>
      <c r="B165" s="50"/>
      <c r="C165" s="50"/>
      <c r="D165" s="50"/>
      <c r="E165" s="50"/>
      <c r="F165" s="50"/>
      <c r="J165" s="68"/>
    </row>
  </sheetData>
  <mergeCells count="158">
    <mergeCell ref="B50:E50"/>
    <mergeCell ref="B49:E49"/>
    <mergeCell ref="G54:I54"/>
    <mergeCell ref="B55:E55"/>
    <mergeCell ref="G50:I50"/>
    <mergeCell ref="B53:E53"/>
    <mergeCell ref="G53:I53"/>
    <mergeCell ref="B51:E51"/>
    <mergeCell ref="G51:I51"/>
    <mergeCell ref="G55:I55"/>
    <mergeCell ref="B52:E52"/>
    <mergeCell ref="G52:I52"/>
    <mergeCell ref="G49:I49"/>
    <mergeCell ref="B54:E54"/>
    <mergeCell ref="B56:E56"/>
    <mergeCell ref="G56:I56"/>
    <mergeCell ref="B61:E61"/>
    <mergeCell ref="G61:I61"/>
    <mergeCell ref="G57:I57"/>
    <mergeCell ref="G62:I62"/>
    <mergeCell ref="G63:I63"/>
    <mergeCell ref="G64:I64"/>
    <mergeCell ref="G65:I65"/>
    <mergeCell ref="B62:E62"/>
    <mergeCell ref="G79:I79"/>
    <mergeCell ref="B60:E60"/>
    <mergeCell ref="G60:I60"/>
    <mergeCell ref="B57:E57"/>
    <mergeCell ref="G58:I58"/>
    <mergeCell ref="B59:E59"/>
    <mergeCell ref="G59:I59"/>
    <mergeCell ref="B58:E58"/>
    <mergeCell ref="B65:E65"/>
    <mergeCell ref="B73:E73"/>
    <mergeCell ref="G66:I66"/>
    <mergeCell ref="G67:I67"/>
    <mergeCell ref="B63:E63"/>
    <mergeCell ref="B64:E64"/>
    <mergeCell ref="B66:E66"/>
    <mergeCell ref="B67:E67"/>
    <mergeCell ref="B68:E68"/>
    <mergeCell ref="B69:E69"/>
    <mergeCell ref="A164:B164"/>
    <mergeCell ref="B143:F143"/>
    <mergeCell ref="B144:F144"/>
    <mergeCell ref="C149:D149"/>
    <mergeCell ref="A153:B153"/>
    <mergeCell ref="B154:B159"/>
    <mergeCell ref="A163:B163"/>
    <mergeCell ref="G68:I68"/>
    <mergeCell ref="G69:I69"/>
    <mergeCell ref="G70:I70"/>
    <mergeCell ref="G71:I71"/>
    <mergeCell ref="G72:I72"/>
    <mergeCell ref="G73:I73"/>
    <mergeCell ref="G74:I74"/>
    <mergeCell ref="G75:I75"/>
    <mergeCell ref="G76:I76"/>
    <mergeCell ref="G77:I77"/>
    <mergeCell ref="G78:I78"/>
    <mergeCell ref="B142:F142"/>
    <mergeCell ref="A103:B103"/>
    <mergeCell ref="G84:I84"/>
    <mergeCell ref="C90:D90"/>
    <mergeCell ref="A92:B92"/>
    <mergeCell ref="A136:B136"/>
    <mergeCell ref="B138:F138"/>
    <mergeCell ref="B139:F139"/>
    <mergeCell ref="B140:F140"/>
    <mergeCell ref="B141:F141"/>
    <mergeCell ref="B84:E84"/>
    <mergeCell ref="B46:E46"/>
    <mergeCell ref="G46:I46"/>
    <mergeCell ref="B44:E44"/>
    <mergeCell ref="G44:I44"/>
    <mergeCell ref="B80:E80"/>
    <mergeCell ref="B83:E83"/>
    <mergeCell ref="G80:I80"/>
    <mergeCell ref="G83:I83"/>
    <mergeCell ref="B70:E70"/>
    <mergeCell ref="B77:E77"/>
    <mergeCell ref="B78:E78"/>
    <mergeCell ref="B79:E79"/>
    <mergeCell ref="B74:E74"/>
    <mergeCell ref="B75:E75"/>
    <mergeCell ref="B76:E76"/>
    <mergeCell ref="B81:E81"/>
    <mergeCell ref="G81:I81"/>
    <mergeCell ref="B71:E71"/>
    <mergeCell ref="B72:E72"/>
    <mergeCell ref="B42:E42"/>
    <mergeCell ref="G42:I42"/>
    <mergeCell ref="B45:E45"/>
    <mergeCell ref="G45:I45"/>
    <mergeCell ref="B43:E43"/>
    <mergeCell ref="G43:I43"/>
    <mergeCell ref="B7:G7"/>
    <mergeCell ref="B17:E17"/>
    <mergeCell ref="G17:I17"/>
    <mergeCell ref="C8:F8"/>
    <mergeCell ref="A9:B9"/>
    <mergeCell ref="C10:G10"/>
    <mergeCell ref="B16:E16"/>
    <mergeCell ref="G16:I16"/>
    <mergeCell ref="B39:E39"/>
    <mergeCell ref="B35:E35"/>
    <mergeCell ref="B36:E36"/>
    <mergeCell ref="B37:E37"/>
    <mergeCell ref="G35:I35"/>
    <mergeCell ref="G36:I36"/>
    <mergeCell ref="G37:I37"/>
    <mergeCell ref="B33:E33"/>
    <mergeCell ref="B21:E21"/>
    <mergeCell ref="B22:E22"/>
    <mergeCell ref="G22:I22"/>
    <mergeCell ref="B23:E23"/>
    <mergeCell ref="G23:I23"/>
    <mergeCell ref="B18:E18"/>
    <mergeCell ref="G21:I21"/>
    <mergeCell ref="B20:E20"/>
    <mergeCell ref="G18:I18"/>
    <mergeCell ref="G20:I20"/>
    <mergeCell ref="B19:E19"/>
    <mergeCell ref="G19:I19"/>
    <mergeCell ref="B24:E24"/>
    <mergeCell ref="G24:I24"/>
    <mergeCell ref="B25:E25"/>
    <mergeCell ref="G25:I25"/>
    <mergeCell ref="B26:E26"/>
    <mergeCell ref="G26:I26"/>
    <mergeCell ref="B27:E27"/>
    <mergeCell ref="G27:I27"/>
    <mergeCell ref="B28:E28"/>
    <mergeCell ref="G28:I28"/>
    <mergeCell ref="B29:E29"/>
    <mergeCell ref="G29:I29"/>
    <mergeCell ref="B31:E31"/>
    <mergeCell ref="G31:I31"/>
    <mergeCell ref="B82:E82"/>
    <mergeCell ref="B48:E48"/>
    <mergeCell ref="G48:I48"/>
    <mergeCell ref="B47:E47"/>
    <mergeCell ref="G47:I47"/>
    <mergeCell ref="B30:E30"/>
    <mergeCell ref="G30:I30"/>
    <mergeCell ref="B32:E32"/>
    <mergeCell ref="G32:I32"/>
    <mergeCell ref="B34:E34"/>
    <mergeCell ref="G34:I34"/>
    <mergeCell ref="B38:E38"/>
    <mergeCell ref="G38:I38"/>
    <mergeCell ref="G82:I82"/>
    <mergeCell ref="G33:I33"/>
    <mergeCell ref="B41:E41"/>
    <mergeCell ref="G41:I41"/>
    <mergeCell ref="G39:I39"/>
    <mergeCell ref="B40:E40"/>
    <mergeCell ref="G40:I40"/>
  </mergeCells>
  <pageMargins left="0.70866141732283472" right="0.31496062992125984" top="0.74803149606299213" bottom="0.35433070866141736" header="0.31496062992125984" footer="0.31496062992125984"/>
  <pageSetup paperSize="9" scale="76" fitToHeight="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FF00"/>
    <pageSetUpPr fitToPage="1"/>
  </sheetPr>
  <dimension ref="A1:AW73"/>
  <sheetViews>
    <sheetView showGridLines="0" zoomScaleNormal="100" workbookViewId="0">
      <pane xSplit="4" ySplit="11" topLeftCell="E12" activePane="bottomRight" state="frozen"/>
      <selection pane="topRight" activeCell="E1" sqref="E1"/>
      <selection pane="bottomLeft" activeCell="A6" sqref="A6"/>
      <selection pane="bottomRight" activeCell="C79" sqref="C79"/>
    </sheetView>
  </sheetViews>
  <sheetFormatPr defaultRowHeight="12.75" outlineLevelRow="1" outlineLevelCol="1" x14ac:dyDescent="0.2"/>
  <cols>
    <col min="1" max="1" width="3.7109375" style="20" customWidth="1"/>
    <col min="2" max="2" width="38" style="47" customWidth="1"/>
    <col min="3" max="3" width="11.7109375" style="47" customWidth="1"/>
    <col min="4" max="4" width="10.140625" style="20" customWidth="1"/>
    <col min="5" max="5" width="6" style="47" customWidth="1"/>
    <col min="6" max="10" width="5.7109375" style="47" customWidth="1"/>
    <col min="11" max="11" width="5.7109375" style="252" customWidth="1"/>
    <col min="12" max="12" width="5.7109375" style="47" customWidth="1"/>
    <col min="13" max="13" width="5.7109375" style="188" customWidth="1"/>
    <col min="14" max="17" width="5.7109375" style="47" customWidth="1"/>
    <col min="18" max="18" width="5.7109375" style="252" customWidth="1"/>
    <col min="19" max="21" width="5.7109375" style="47" customWidth="1"/>
    <col min="22" max="22" width="6" style="47" customWidth="1"/>
    <col min="23" max="24" width="5.7109375" style="47" customWidth="1"/>
    <col min="25" max="30" width="5.7109375" style="47" hidden="1" customWidth="1"/>
    <col min="31" max="31" width="5.7109375" style="252" customWidth="1"/>
    <col min="32" max="32" width="5.7109375" style="47" customWidth="1" outlineLevel="1"/>
    <col min="33" max="34" width="5.7109375" style="13" customWidth="1" outlineLevel="1"/>
    <col min="35" max="41" width="5.85546875" style="13" customWidth="1" outlineLevel="1"/>
    <col min="42" max="42" width="11.42578125" style="46" customWidth="1"/>
    <col min="43" max="43" width="9.42578125" style="20" customWidth="1"/>
    <col min="44" max="44" width="11.5703125" style="17" bestFit="1" customWidth="1"/>
    <col min="45" max="45" width="9.140625" customWidth="1" outlineLevel="1"/>
    <col min="46" max="46" width="9.140625" style="17" customWidth="1" outlineLevel="1"/>
    <col min="47" max="47" width="5" style="134" customWidth="1" outlineLevel="1"/>
    <col min="48" max="263" width="9.140625" style="17"/>
    <col min="264" max="264" width="3.7109375" style="17" customWidth="1"/>
    <col min="265" max="265" width="34.42578125" style="17" customWidth="1"/>
    <col min="266" max="266" width="11.5703125" style="17" customWidth="1"/>
    <col min="267" max="267" width="11.7109375" style="17" customWidth="1"/>
    <col min="268" max="294" width="8.42578125" style="17" customWidth="1"/>
    <col min="295" max="295" width="11.42578125" style="17" customWidth="1"/>
    <col min="296" max="296" width="9.42578125" style="17" customWidth="1"/>
    <col min="297" max="297" width="11.5703125" style="17" bestFit="1" customWidth="1"/>
    <col min="298" max="298" width="9.28515625" style="17" bestFit="1" customWidth="1"/>
    <col min="299" max="519" width="9.140625" style="17"/>
    <col min="520" max="520" width="3.7109375" style="17" customWidth="1"/>
    <col min="521" max="521" width="34.42578125" style="17" customWidth="1"/>
    <col min="522" max="522" width="11.5703125" style="17" customWidth="1"/>
    <col min="523" max="523" width="11.7109375" style="17" customWidth="1"/>
    <col min="524" max="550" width="8.42578125" style="17" customWidth="1"/>
    <col min="551" max="551" width="11.42578125" style="17" customWidth="1"/>
    <col min="552" max="552" width="9.42578125" style="17" customWidth="1"/>
    <col min="553" max="553" width="11.5703125" style="17" bestFit="1" customWidth="1"/>
    <col min="554" max="554" width="9.28515625" style="17" bestFit="1" customWidth="1"/>
    <col min="555" max="775" width="9.140625" style="17"/>
    <col min="776" max="776" width="3.7109375" style="17" customWidth="1"/>
    <col min="777" max="777" width="34.42578125" style="17" customWidth="1"/>
    <col min="778" max="778" width="11.5703125" style="17" customWidth="1"/>
    <col min="779" max="779" width="11.7109375" style="17" customWidth="1"/>
    <col min="780" max="806" width="8.42578125" style="17" customWidth="1"/>
    <col min="807" max="807" width="11.42578125" style="17" customWidth="1"/>
    <col min="808" max="808" width="9.42578125" style="17" customWidth="1"/>
    <col min="809" max="809" width="11.5703125" style="17" bestFit="1" customWidth="1"/>
    <col min="810" max="810" width="9.28515625" style="17" bestFit="1" customWidth="1"/>
    <col min="811" max="1031" width="9.140625" style="17"/>
    <col min="1032" max="1032" width="3.7109375" style="17" customWidth="1"/>
    <col min="1033" max="1033" width="34.42578125" style="17" customWidth="1"/>
    <col min="1034" max="1034" width="11.5703125" style="17" customWidth="1"/>
    <col min="1035" max="1035" width="11.7109375" style="17" customWidth="1"/>
    <col min="1036" max="1062" width="8.42578125" style="17" customWidth="1"/>
    <col min="1063" max="1063" width="11.42578125" style="17" customWidth="1"/>
    <col min="1064" max="1064" width="9.42578125" style="17" customWidth="1"/>
    <col min="1065" max="1065" width="11.5703125" style="17" bestFit="1" customWidth="1"/>
    <col min="1066" max="1066" width="9.28515625" style="17" bestFit="1" customWidth="1"/>
    <col min="1067" max="1287" width="9.140625" style="17"/>
    <col min="1288" max="1288" width="3.7109375" style="17" customWidth="1"/>
    <col min="1289" max="1289" width="34.42578125" style="17" customWidth="1"/>
    <col min="1290" max="1290" width="11.5703125" style="17" customWidth="1"/>
    <col min="1291" max="1291" width="11.7109375" style="17" customWidth="1"/>
    <col min="1292" max="1318" width="8.42578125" style="17" customWidth="1"/>
    <col min="1319" max="1319" width="11.42578125" style="17" customWidth="1"/>
    <col min="1320" max="1320" width="9.42578125" style="17" customWidth="1"/>
    <col min="1321" max="1321" width="11.5703125" style="17" bestFit="1" customWidth="1"/>
    <col min="1322" max="1322" width="9.28515625" style="17" bestFit="1" customWidth="1"/>
    <col min="1323" max="1543" width="9.140625" style="17"/>
    <col min="1544" max="1544" width="3.7109375" style="17" customWidth="1"/>
    <col min="1545" max="1545" width="34.42578125" style="17" customWidth="1"/>
    <col min="1546" max="1546" width="11.5703125" style="17" customWidth="1"/>
    <col min="1547" max="1547" width="11.7109375" style="17" customWidth="1"/>
    <col min="1548" max="1574" width="8.42578125" style="17" customWidth="1"/>
    <col min="1575" max="1575" width="11.42578125" style="17" customWidth="1"/>
    <col min="1576" max="1576" width="9.42578125" style="17" customWidth="1"/>
    <col min="1577" max="1577" width="11.5703125" style="17" bestFit="1" customWidth="1"/>
    <col min="1578" max="1578" width="9.28515625" style="17" bestFit="1" customWidth="1"/>
    <col min="1579" max="1799" width="9.140625" style="17"/>
    <col min="1800" max="1800" width="3.7109375" style="17" customWidth="1"/>
    <col min="1801" max="1801" width="34.42578125" style="17" customWidth="1"/>
    <col min="1802" max="1802" width="11.5703125" style="17" customWidth="1"/>
    <col min="1803" max="1803" width="11.7109375" style="17" customWidth="1"/>
    <col min="1804" max="1830" width="8.42578125" style="17" customWidth="1"/>
    <col min="1831" max="1831" width="11.42578125" style="17" customWidth="1"/>
    <col min="1832" max="1832" width="9.42578125" style="17" customWidth="1"/>
    <col min="1833" max="1833" width="11.5703125" style="17" bestFit="1" customWidth="1"/>
    <col min="1834" max="1834" width="9.28515625" style="17" bestFit="1" customWidth="1"/>
    <col min="1835" max="2055" width="9.140625" style="17"/>
    <col min="2056" max="2056" width="3.7109375" style="17" customWidth="1"/>
    <col min="2057" max="2057" width="34.42578125" style="17" customWidth="1"/>
    <col min="2058" max="2058" width="11.5703125" style="17" customWidth="1"/>
    <col min="2059" max="2059" width="11.7109375" style="17" customWidth="1"/>
    <col min="2060" max="2086" width="8.42578125" style="17" customWidth="1"/>
    <col min="2087" max="2087" width="11.42578125" style="17" customWidth="1"/>
    <col min="2088" max="2088" width="9.42578125" style="17" customWidth="1"/>
    <col min="2089" max="2089" width="11.5703125" style="17" bestFit="1" customWidth="1"/>
    <col min="2090" max="2090" width="9.28515625" style="17" bestFit="1" customWidth="1"/>
    <col min="2091" max="2311" width="9.140625" style="17"/>
    <col min="2312" max="2312" width="3.7109375" style="17" customWidth="1"/>
    <col min="2313" max="2313" width="34.42578125" style="17" customWidth="1"/>
    <col min="2314" max="2314" width="11.5703125" style="17" customWidth="1"/>
    <col min="2315" max="2315" width="11.7109375" style="17" customWidth="1"/>
    <col min="2316" max="2342" width="8.42578125" style="17" customWidth="1"/>
    <col min="2343" max="2343" width="11.42578125" style="17" customWidth="1"/>
    <col min="2344" max="2344" width="9.42578125" style="17" customWidth="1"/>
    <col min="2345" max="2345" width="11.5703125" style="17" bestFit="1" customWidth="1"/>
    <col min="2346" max="2346" width="9.28515625" style="17" bestFit="1" customWidth="1"/>
    <col min="2347" max="2567" width="9.140625" style="17"/>
    <col min="2568" max="2568" width="3.7109375" style="17" customWidth="1"/>
    <col min="2569" max="2569" width="34.42578125" style="17" customWidth="1"/>
    <col min="2570" max="2570" width="11.5703125" style="17" customWidth="1"/>
    <col min="2571" max="2571" width="11.7109375" style="17" customWidth="1"/>
    <col min="2572" max="2598" width="8.42578125" style="17" customWidth="1"/>
    <col min="2599" max="2599" width="11.42578125" style="17" customWidth="1"/>
    <col min="2600" max="2600" width="9.42578125" style="17" customWidth="1"/>
    <col min="2601" max="2601" width="11.5703125" style="17" bestFit="1" customWidth="1"/>
    <col min="2602" max="2602" width="9.28515625" style="17" bestFit="1" customWidth="1"/>
    <col min="2603" max="2823" width="9.140625" style="17"/>
    <col min="2824" max="2824" width="3.7109375" style="17" customWidth="1"/>
    <col min="2825" max="2825" width="34.42578125" style="17" customWidth="1"/>
    <col min="2826" max="2826" width="11.5703125" style="17" customWidth="1"/>
    <col min="2827" max="2827" width="11.7109375" style="17" customWidth="1"/>
    <col min="2828" max="2854" width="8.42578125" style="17" customWidth="1"/>
    <col min="2855" max="2855" width="11.42578125" style="17" customWidth="1"/>
    <col min="2856" max="2856" width="9.42578125" style="17" customWidth="1"/>
    <col min="2857" max="2857" width="11.5703125" style="17" bestFit="1" customWidth="1"/>
    <col min="2858" max="2858" width="9.28515625" style="17" bestFit="1" customWidth="1"/>
    <col min="2859" max="3079" width="9.140625" style="17"/>
    <col min="3080" max="3080" width="3.7109375" style="17" customWidth="1"/>
    <col min="3081" max="3081" width="34.42578125" style="17" customWidth="1"/>
    <col min="3082" max="3082" width="11.5703125" style="17" customWidth="1"/>
    <col min="3083" max="3083" width="11.7109375" style="17" customWidth="1"/>
    <col min="3084" max="3110" width="8.42578125" style="17" customWidth="1"/>
    <col min="3111" max="3111" width="11.42578125" style="17" customWidth="1"/>
    <col min="3112" max="3112" width="9.42578125" style="17" customWidth="1"/>
    <col min="3113" max="3113" width="11.5703125" style="17" bestFit="1" customWidth="1"/>
    <col min="3114" max="3114" width="9.28515625" style="17" bestFit="1" customWidth="1"/>
    <col min="3115" max="3335" width="9.140625" style="17"/>
    <col min="3336" max="3336" width="3.7109375" style="17" customWidth="1"/>
    <col min="3337" max="3337" width="34.42578125" style="17" customWidth="1"/>
    <col min="3338" max="3338" width="11.5703125" style="17" customWidth="1"/>
    <col min="3339" max="3339" width="11.7109375" style="17" customWidth="1"/>
    <col min="3340" max="3366" width="8.42578125" style="17" customWidth="1"/>
    <col min="3367" max="3367" width="11.42578125" style="17" customWidth="1"/>
    <col min="3368" max="3368" width="9.42578125" style="17" customWidth="1"/>
    <col min="3369" max="3369" width="11.5703125" style="17" bestFit="1" customWidth="1"/>
    <col min="3370" max="3370" width="9.28515625" style="17" bestFit="1" customWidth="1"/>
    <col min="3371" max="3591" width="9.140625" style="17"/>
    <col min="3592" max="3592" width="3.7109375" style="17" customWidth="1"/>
    <col min="3593" max="3593" width="34.42578125" style="17" customWidth="1"/>
    <col min="3594" max="3594" width="11.5703125" style="17" customWidth="1"/>
    <col min="3595" max="3595" width="11.7109375" style="17" customWidth="1"/>
    <col min="3596" max="3622" width="8.42578125" style="17" customWidth="1"/>
    <col min="3623" max="3623" width="11.42578125" style="17" customWidth="1"/>
    <col min="3624" max="3624" width="9.42578125" style="17" customWidth="1"/>
    <col min="3625" max="3625" width="11.5703125" style="17" bestFit="1" customWidth="1"/>
    <col min="3626" max="3626" width="9.28515625" style="17" bestFit="1" customWidth="1"/>
    <col min="3627" max="3847" width="9.140625" style="17"/>
    <col min="3848" max="3848" width="3.7109375" style="17" customWidth="1"/>
    <col min="3849" max="3849" width="34.42578125" style="17" customWidth="1"/>
    <col min="3850" max="3850" width="11.5703125" style="17" customWidth="1"/>
    <col min="3851" max="3851" width="11.7109375" style="17" customWidth="1"/>
    <col min="3852" max="3878" width="8.42578125" style="17" customWidth="1"/>
    <col min="3879" max="3879" width="11.42578125" style="17" customWidth="1"/>
    <col min="3880" max="3880" width="9.42578125" style="17" customWidth="1"/>
    <col min="3881" max="3881" width="11.5703125" style="17" bestFit="1" customWidth="1"/>
    <col min="3882" max="3882" width="9.28515625" style="17" bestFit="1" customWidth="1"/>
    <col min="3883" max="4103" width="9.140625" style="17"/>
    <col min="4104" max="4104" width="3.7109375" style="17" customWidth="1"/>
    <col min="4105" max="4105" width="34.42578125" style="17" customWidth="1"/>
    <col min="4106" max="4106" width="11.5703125" style="17" customWidth="1"/>
    <col min="4107" max="4107" width="11.7109375" style="17" customWidth="1"/>
    <col min="4108" max="4134" width="8.42578125" style="17" customWidth="1"/>
    <col min="4135" max="4135" width="11.42578125" style="17" customWidth="1"/>
    <col min="4136" max="4136" width="9.42578125" style="17" customWidth="1"/>
    <col min="4137" max="4137" width="11.5703125" style="17" bestFit="1" customWidth="1"/>
    <col min="4138" max="4138" width="9.28515625" style="17" bestFit="1" customWidth="1"/>
    <col min="4139" max="4359" width="9.140625" style="17"/>
    <col min="4360" max="4360" width="3.7109375" style="17" customWidth="1"/>
    <col min="4361" max="4361" width="34.42578125" style="17" customWidth="1"/>
    <col min="4362" max="4362" width="11.5703125" style="17" customWidth="1"/>
    <col min="4363" max="4363" width="11.7109375" style="17" customWidth="1"/>
    <col min="4364" max="4390" width="8.42578125" style="17" customWidth="1"/>
    <col min="4391" max="4391" width="11.42578125" style="17" customWidth="1"/>
    <col min="4392" max="4392" width="9.42578125" style="17" customWidth="1"/>
    <col min="4393" max="4393" width="11.5703125" style="17" bestFit="1" customWidth="1"/>
    <col min="4394" max="4394" width="9.28515625" style="17" bestFit="1" customWidth="1"/>
    <col min="4395" max="4615" width="9.140625" style="17"/>
    <col min="4616" max="4616" width="3.7109375" style="17" customWidth="1"/>
    <col min="4617" max="4617" width="34.42578125" style="17" customWidth="1"/>
    <col min="4618" max="4618" width="11.5703125" style="17" customWidth="1"/>
    <col min="4619" max="4619" width="11.7109375" style="17" customWidth="1"/>
    <col min="4620" max="4646" width="8.42578125" style="17" customWidth="1"/>
    <col min="4647" max="4647" width="11.42578125" style="17" customWidth="1"/>
    <col min="4648" max="4648" width="9.42578125" style="17" customWidth="1"/>
    <col min="4649" max="4649" width="11.5703125" style="17" bestFit="1" customWidth="1"/>
    <col min="4650" max="4650" width="9.28515625" style="17" bestFit="1" customWidth="1"/>
    <col min="4651" max="4871" width="9.140625" style="17"/>
    <col min="4872" max="4872" width="3.7109375" style="17" customWidth="1"/>
    <col min="4873" max="4873" width="34.42578125" style="17" customWidth="1"/>
    <col min="4874" max="4874" width="11.5703125" style="17" customWidth="1"/>
    <col min="4875" max="4875" width="11.7109375" style="17" customWidth="1"/>
    <col min="4876" max="4902" width="8.42578125" style="17" customWidth="1"/>
    <col min="4903" max="4903" width="11.42578125" style="17" customWidth="1"/>
    <col min="4904" max="4904" width="9.42578125" style="17" customWidth="1"/>
    <col min="4905" max="4905" width="11.5703125" style="17" bestFit="1" customWidth="1"/>
    <col min="4906" max="4906" width="9.28515625" style="17" bestFit="1" customWidth="1"/>
    <col min="4907" max="5127" width="9.140625" style="17"/>
    <col min="5128" max="5128" width="3.7109375" style="17" customWidth="1"/>
    <col min="5129" max="5129" width="34.42578125" style="17" customWidth="1"/>
    <col min="5130" max="5130" width="11.5703125" style="17" customWidth="1"/>
    <col min="5131" max="5131" width="11.7109375" style="17" customWidth="1"/>
    <col min="5132" max="5158" width="8.42578125" style="17" customWidth="1"/>
    <col min="5159" max="5159" width="11.42578125" style="17" customWidth="1"/>
    <col min="5160" max="5160" width="9.42578125" style="17" customWidth="1"/>
    <col min="5161" max="5161" width="11.5703125" style="17" bestFit="1" customWidth="1"/>
    <col min="5162" max="5162" width="9.28515625" style="17" bestFit="1" customWidth="1"/>
    <col min="5163" max="5383" width="9.140625" style="17"/>
    <col min="5384" max="5384" width="3.7109375" style="17" customWidth="1"/>
    <col min="5385" max="5385" width="34.42578125" style="17" customWidth="1"/>
    <col min="5386" max="5386" width="11.5703125" style="17" customWidth="1"/>
    <col min="5387" max="5387" width="11.7109375" style="17" customWidth="1"/>
    <col min="5388" max="5414" width="8.42578125" style="17" customWidth="1"/>
    <col min="5415" max="5415" width="11.42578125" style="17" customWidth="1"/>
    <col min="5416" max="5416" width="9.42578125" style="17" customWidth="1"/>
    <col min="5417" max="5417" width="11.5703125" style="17" bestFit="1" customWidth="1"/>
    <col min="5418" max="5418" width="9.28515625" style="17" bestFit="1" customWidth="1"/>
    <col min="5419" max="5639" width="9.140625" style="17"/>
    <col min="5640" max="5640" width="3.7109375" style="17" customWidth="1"/>
    <col min="5641" max="5641" width="34.42578125" style="17" customWidth="1"/>
    <col min="5642" max="5642" width="11.5703125" style="17" customWidth="1"/>
    <col min="5643" max="5643" width="11.7109375" style="17" customWidth="1"/>
    <col min="5644" max="5670" width="8.42578125" style="17" customWidth="1"/>
    <col min="5671" max="5671" width="11.42578125" style="17" customWidth="1"/>
    <col min="5672" max="5672" width="9.42578125" style="17" customWidth="1"/>
    <col min="5673" max="5673" width="11.5703125" style="17" bestFit="1" customWidth="1"/>
    <col min="5674" max="5674" width="9.28515625" style="17" bestFit="1" customWidth="1"/>
    <col min="5675" max="5895" width="9.140625" style="17"/>
    <col min="5896" max="5896" width="3.7109375" style="17" customWidth="1"/>
    <col min="5897" max="5897" width="34.42578125" style="17" customWidth="1"/>
    <col min="5898" max="5898" width="11.5703125" style="17" customWidth="1"/>
    <col min="5899" max="5899" width="11.7109375" style="17" customWidth="1"/>
    <col min="5900" max="5926" width="8.42578125" style="17" customWidth="1"/>
    <col min="5927" max="5927" width="11.42578125" style="17" customWidth="1"/>
    <col min="5928" max="5928" width="9.42578125" style="17" customWidth="1"/>
    <col min="5929" max="5929" width="11.5703125" style="17" bestFit="1" customWidth="1"/>
    <col min="5930" max="5930" width="9.28515625" style="17" bestFit="1" customWidth="1"/>
    <col min="5931" max="6151" width="9.140625" style="17"/>
    <col min="6152" max="6152" width="3.7109375" style="17" customWidth="1"/>
    <col min="6153" max="6153" width="34.42578125" style="17" customWidth="1"/>
    <col min="6154" max="6154" width="11.5703125" style="17" customWidth="1"/>
    <col min="6155" max="6155" width="11.7109375" style="17" customWidth="1"/>
    <col min="6156" max="6182" width="8.42578125" style="17" customWidth="1"/>
    <col min="6183" max="6183" width="11.42578125" style="17" customWidth="1"/>
    <col min="6184" max="6184" width="9.42578125" style="17" customWidth="1"/>
    <col min="6185" max="6185" width="11.5703125" style="17" bestFit="1" customWidth="1"/>
    <col min="6186" max="6186" width="9.28515625" style="17" bestFit="1" customWidth="1"/>
    <col min="6187" max="6407" width="9.140625" style="17"/>
    <col min="6408" max="6408" width="3.7109375" style="17" customWidth="1"/>
    <col min="6409" max="6409" width="34.42578125" style="17" customWidth="1"/>
    <col min="6410" max="6410" width="11.5703125" style="17" customWidth="1"/>
    <col min="6411" max="6411" width="11.7109375" style="17" customWidth="1"/>
    <col min="6412" max="6438" width="8.42578125" style="17" customWidth="1"/>
    <col min="6439" max="6439" width="11.42578125" style="17" customWidth="1"/>
    <col min="6440" max="6440" width="9.42578125" style="17" customWidth="1"/>
    <col min="6441" max="6441" width="11.5703125" style="17" bestFit="1" customWidth="1"/>
    <col min="6442" max="6442" width="9.28515625" style="17" bestFit="1" customWidth="1"/>
    <col min="6443" max="6663" width="9.140625" style="17"/>
    <col min="6664" max="6664" width="3.7109375" style="17" customWidth="1"/>
    <col min="6665" max="6665" width="34.42578125" style="17" customWidth="1"/>
    <col min="6666" max="6666" width="11.5703125" style="17" customWidth="1"/>
    <col min="6667" max="6667" width="11.7109375" style="17" customWidth="1"/>
    <col min="6668" max="6694" width="8.42578125" style="17" customWidth="1"/>
    <col min="6695" max="6695" width="11.42578125" style="17" customWidth="1"/>
    <col min="6696" max="6696" width="9.42578125" style="17" customWidth="1"/>
    <col min="6697" max="6697" width="11.5703125" style="17" bestFit="1" customWidth="1"/>
    <col min="6698" max="6698" width="9.28515625" style="17" bestFit="1" customWidth="1"/>
    <col min="6699" max="6919" width="9.140625" style="17"/>
    <col min="6920" max="6920" width="3.7109375" style="17" customWidth="1"/>
    <col min="6921" max="6921" width="34.42578125" style="17" customWidth="1"/>
    <col min="6922" max="6922" width="11.5703125" style="17" customWidth="1"/>
    <col min="6923" max="6923" width="11.7109375" style="17" customWidth="1"/>
    <col min="6924" max="6950" width="8.42578125" style="17" customWidth="1"/>
    <col min="6951" max="6951" width="11.42578125" style="17" customWidth="1"/>
    <col min="6952" max="6952" width="9.42578125" style="17" customWidth="1"/>
    <col min="6953" max="6953" width="11.5703125" style="17" bestFit="1" customWidth="1"/>
    <col min="6954" max="6954" width="9.28515625" style="17" bestFit="1" customWidth="1"/>
    <col min="6955" max="7175" width="9.140625" style="17"/>
    <col min="7176" max="7176" width="3.7109375" style="17" customWidth="1"/>
    <col min="7177" max="7177" width="34.42578125" style="17" customWidth="1"/>
    <col min="7178" max="7178" width="11.5703125" style="17" customWidth="1"/>
    <col min="7179" max="7179" width="11.7109375" style="17" customWidth="1"/>
    <col min="7180" max="7206" width="8.42578125" style="17" customWidth="1"/>
    <col min="7207" max="7207" width="11.42578125" style="17" customWidth="1"/>
    <col min="7208" max="7208" width="9.42578125" style="17" customWidth="1"/>
    <col min="7209" max="7209" width="11.5703125" style="17" bestFit="1" customWidth="1"/>
    <col min="7210" max="7210" width="9.28515625" style="17" bestFit="1" customWidth="1"/>
    <col min="7211" max="7431" width="9.140625" style="17"/>
    <col min="7432" max="7432" width="3.7109375" style="17" customWidth="1"/>
    <col min="7433" max="7433" width="34.42578125" style="17" customWidth="1"/>
    <col min="7434" max="7434" width="11.5703125" style="17" customWidth="1"/>
    <col min="7435" max="7435" width="11.7109375" style="17" customWidth="1"/>
    <col min="7436" max="7462" width="8.42578125" style="17" customWidth="1"/>
    <col min="7463" max="7463" width="11.42578125" style="17" customWidth="1"/>
    <col min="7464" max="7464" width="9.42578125" style="17" customWidth="1"/>
    <col min="7465" max="7465" width="11.5703125" style="17" bestFit="1" customWidth="1"/>
    <col min="7466" max="7466" width="9.28515625" style="17" bestFit="1" customWidth="1"/>
    <col min="7467" max="7687" width="9.140625" style="17"/>
    <col min="7688" max="7688" width="3.7109375" style="17" customWidth="1"/>
    <col min="7689" max="7689" width="34.42578125" style="17" customWidth="1"/>
    <col min="7690" max="7690" width="11.5703125" style="17" customWidth="1"/>
    <col min="7691" max="7691" width="11.7109375" style="17" customWidth="1"/>
    <col min="7692" max="7718" width="8.42578125" style="17" customWidth="1"/>
    <col min="7719" max="7719" width="11.42578125" style="17" customWidth="1"/>
    <col min="7720" max="7720" width="9.42578125" style="17" customWidth="1"/>
    <col min="7721" max="7721" width="11.5703125" style="17" bestFit="1" customWidth="1"/>
    <col min="7722" max="7722" width="9.28515625" style="17" bestFit="1" customWidth="1"/>
    <col min="7723" max="7943" width="9.140625" style="17"/>
    <col min="7944" max="7944" width="3.7109375" style="17" customWidth="1"/>
    <col min="7945" max="7945" width="34.42578125" style="17" customWidth="1"/>
    <col min="7946" max="7946" width="11.5703125" style="17" customWidth="1"/>
    <col min="7947" max="7947" width="11.7109375" style="17" customWidth="1"/>
    <col min="7948" max="7974" width="8.42578125" style="17" customWidth="1"/>
    <col min="7975" max="7975" width="11.42578125" style="17" customWidth="1"/>
    <col min="7976" max="7976" width="9.42578125" style="17" customWidth="1"/>
    <col min="7977" max="7977" width="11.5703125" style="17" bestFit="1" customWidth="1"/>
    <col min="7978" max="7978" width="9.28515625" style="17" bestFit="1" customWidth="1"/>
    <col min="7979" max="8199" width="9.140625" style="17"/>
    <col min="8200" max="8200" width="3.7109375" style="17" customWidth="1"/>
    <col min="8201" max="8201" width="34.42578125" style="17" customWidth="1"/>
    <col min="8202" max="8202" width="11.5703125" style="17" customWidth="1"/>
    <col min="8203" max="8203" width="11.7109375" style="17" customWidth="1"/>
    <col min="8204" max="8230" width="8.42578125" style="17" customWidth="1"/>
    <col min="8231" max="8231" width="11.42578125" style="17" customWidth="1"/>
    <col min="8232" max="8232" width="9.42578125" style="17" customWidth="1"/>
    <col min="8233" max="8233" width="11.5703125" style="17" bestFit="1" customWidth="1"/>
    <col min="8234" max="8234" width="9.28515625" style="17" bestFit="1" customWidth="1"/>
    <col min="8235" max="8455" width="9.140625" style="17"/>
    <col min="8456" max="8456" width="3.7109375" style="17" customWidth="1"/>
    <col min="8457" max="8457" width="34.42578125" style="17" customWidth="1"/>
    <col min="8458" max="8458" width="11.5703125" style="17" customWidth="1"/>
    <col min="8459" max="8459" width="11.7109375" style="17" customWidth="1"/>
    <col min="8460" max="8486" width="8.42578125" style="17" customWidth="1"/>
    <col min="8487" max="8487" width="11.42578125" style="17" customWidth="1"/>
    <col min="8488" max="8488" width="9.42578125" style="17" customWidth="1"/>
    <col min="8489" max="8489" width="11.5703125" style="17" bestFit="1" customWidth="1"/>
    <col min="8490" max="8490" width="9.28515625" style="17" bestFit="1" customWidth="1"/>
    <col min="8491" max="8711" width="9.140625" style="17"/>
    <col min="8712" max="8712" width="3.7109375" style="17" customWidth="1"/>
    <col min="8713" max="8713" width="34.42578125" style="17" customWidth="1"/>
    <col min="8714" max="8714" width="11.5703125" style="17" customWidth="1"/>
    <col min="8715" max="8715" width="11.7109375" style="17" customWidth="1"/>
    <col min="8716" max="8742" width="8.42578125" style="17" customWidth="1"/>
    <col min="8743" max="8743" width="11.42578125" style="17" customWidth="1"/>
    <col min="8744" max="8744" width="9.42578125" style="17" customWidth="1"/>
    <col min="8745" max="8745" width="11.5703125" style="17" bestFit="1" customWidth="1"/>
    <col min="8746" max="8746" width="9.28515625" style="17" bestFit="1" customWidth="1"/>
    <col min="8747" max="8967" width="9.140625" style="17"/>
    <col min="8968" max="8968" width="3.7109375" style="17" customWidth="1"/>
    <col min="8969" max="8969" width="34.42578125" style="17" customWidth="1"/>
    <col min="8970" max="8970" width="11.5703125" style="17" customWidth="1"/>
    <col min="8971" max="8971" width="11.7109375" style="17" customWidth="1"/>
    <col min="8972" max="8998" width="8.42578125" style="17" customWidth="1"/>
    <col min="8999" max="8999" width="11.42578125" style="17" customWidth="1"/>
    <col min="9000" max="9000" width="9.42578125" style="17" customWidth="1"/>
    <col min="9001" max="9001" width="11.5703125" style="17" bestFit="1" customWidth="1"/>
    <col min="9002" max="9002" width="9.28515625" style="17" bestFit="1" customWidth="1"/>
    <col min="9003" max="9223" width="9.140625" style="17"/>
    <col min="9224" max="9224" width="3.7109375" style="17" customWidth="1"/>
    <col min="9225" max="9225" width="34.42578125" style="17" customWidth="1"/>
    <col min="9226" max="9226" width="11.5703125" style="17" customWidth="1"/>
    <col min="9227" max="9227" width="11.7109375" style="17" customWidth="1"/>
    <col min="9228" max="9254" width="8.42578125" style="17" customWidth="1"/>
    <col min="9255" max="9255" width="11.42578125" style="17" customWidth="1"/>
    <col min="9256" max="9256" width="9.42578125" style="17" customWidth="1"/>
    <col min="9257" max="9257" width="11.5703125" style="17" bestFit="1" customWidth="1"/>
    <col min="9258" max="9258" width="9.28515625" style="17" bestFit="1" customWidth="1"/>
    <col min="9259" max="9479" width="9.140625" style="17"/>
    <col min="9480" max="9480" width="3.7109375" style="17" customWidth="1"/>
    <col min="9481" max="9481" width="34.42578125" style="17" customWidth="1"/>
    <col min="9482" max="9482" width="11.5703125" style="17" customWidth="1"/>
    <col min="9483" max="9483" width="11.7109375" style="17" customWidth="1"/>
    <col min="9484" max="9510" width="8.42578125" style="17" customWidth="1"/>
    <col min="9511" max="9511" width="11.42578125" style="17" customWidth="1"/>
    <col min="9512" max="9512" width="9.42578125" style="17" customWidth="1"/>
    <col min="9513" max="9513" width="11.5703125" style="17" bestFit="1" customWidth="1"/>
    <col min="9514" max="9514" width="9.28515625" style="17" bestFit="1" customWidth="1"/>
    <col min="9515" max="9735" width="9.140625" style="17"/>
    <col min="9736" max="9736" width="3.7109375" style="17" customWidth="1"/>
    <col min="9737" max="9737" width="34.42578125" style="17" customWidth="1"/>
    <col min="9738" max="9738" width="11.5703125" style="17" customWidth="1"/>
    <col min="9739" max="9739" width="11.7109375" style="17" customWidth="1"/>
    <col min="9740" max="9766" width="8.42578125" style="17" customWidth="1"/>
    <col min="9767" max="9767" width="11.42578125" style="17" customWidth="1"/>
    <col min="9768" max="9768" width="9.42578125" style="17" customWidth="1"/>
    <col min="9769" max="9769" width="11.5703125" style="17" bestFit="1" customWidth="1"/>
    <col min="9770" max="9770" width="9.28515625" style="17" bestFit="1" customWidth="1"/>
    <col min="9771" max="9991" width="9.140625" style="17"/>
    <col min="9992" max="9992" width="3.7109375" style="17" customWidth="1"/>
    <col min="9993" max="9993" width="34.42578125" style="17" customWidth="1"/>
    <col min="9994" max="9994" width="11.5703125" style="17" customWidth="1"/>
    <col min="9995" max="9995" width="11.7109375" style="17" customWidth="1"/>
    <col min="9996" max="10022" width="8.42578125" style="17" customWidth="1"/>
    <col min="10023" max="10023" width="11.42578125" style="17" customWidth="1"/>
    <col min="10024" max="10024" width="9.42578125" style="17" customWidth="1"/>
    <col min="10025" max="10025" width="11.5703125" style="17" bestFit="1" customWidth="1"/>
    <col min="10026" max="10026" width="9.28515625" style="17" bestFit="1" customWidth="1"/>
    <col min="10027" max="10247" width="9.140625" style="17"/>
    <col min="10248" max="10248" width="3.7109375" style="17" customWidth="1"/>
    <col min="10249" max="10249" width="34.42578125" style="17" customWidth="1"/>
    <col min="10250" max="10250" width="11.5703125" style="17" customWidth="1"/>
    <col min="10251" max="10251" width="11.7109375" style="17" customWidth="1"/>
    <col min="10252" max="10278" width="8.42578125" style="17" customWidth="1"/>
    <col min="10279" max="10279" width="11.42578125" style="17" customWidth="1"/>
    <col min="10280" max="10280" width="9.42578125" style="17" customWidth="1"/>
    <col min="10281" max="10281" width="11.5703125" style="17" bestFit="1" customWidth="1"/>
    <col min="10282" max="10282" width="9.28515625" style="17" bestFit="1" customWidth="1"/>
    <col min="10283" max="10503" width="9.140625" style="17"/>
    <col min="10504" max="10504" width="3.7109375" style="17" customWidth="1"/>
    <col min="10505" max="10505" width="34.42578125" style="17" customWidth="1"/>
    <col min="10506" max="10506" width="11.5703125" style="17" customWidth="1"/>
    <col min="10507" max="10507" width="11.7109375" style="17" customWidth="1"/>
    <col min="10508" max="10534" width="8.42578125" style="17" customWidth="1"/>
    <col min="10535" max="10535" width="11.42578125" style="17" customWidth="1"/>
    <col min="10536" max="10536" width="9.42578125" style="17" customWidth="1"/>
    <col min="10537" max="10537" width="11.5703125" style="17" bestFit="1" customWidth="1"/>
    <col min="10538" max="10538" width="9.28515625" style="17" bestFit="1" customWidth="1"/>
    <col min="10539" max="10759" width="9.140625" style="17"/>
    <col min="10760" max="10760" width="3.7109375" style="17" customWidth="1"/>
    <col min="10761" max="10761" width="34.42578125" style="17" customWidth="1"/>
    <col min="10762" max="10762" width="11.5703125" style="17" customWidth="1"/>
    <col min="10763" max="10763" width="11.7109375" style="17" customWidth="1"/>
    <col min="10764" max="10790" width="8.42578125" style="17" customWidth="1"/>
    <col min="10791" max="10791" width="11.42578125" style="17" customWidth="1"/>
    <col min="10792" max="10792" width="9.42578125" style="17" customWidth="1"/>
    <col min="10793" max="10793" width="11.5703125" style="17" bestFit="1" customWidth="1"/>
    <col min="10794" max="10794" width="9.28515625" style="17" bestFit="1" customWidth="1"/>
    <col min="10795" max="11015" width="9.140625" style="17"/>
    <col min="11016" max="11016" width="3.7109375" style="17" customWidth="1"/>
    <col min="11017" max="11017" width="34.42578125" style="17" customWidth="1"/>
    <col min="11018" max="11018" width="11.5703125" style="17" customWidth="1"/>
    <col min="11019" max="11019" width="11.7109375" style="17" customWidth="1"/>
    <col min="11020" max="11046" width="8.42578125" style="17" customWidth="1"/>
    <col min="11047" max="11047" width="11.42578125" style="17" customWidth="1"/>
    <col min="11048" max="11048" width="9.42578125" style="17" customWidth="1"/>
    <col min="11049" max="11049" width="11.5703125" style="17" bestFit="1" customWidth="1"/>
    <col min="11050" max="11050" width="9.28515625" style="17" bestFit="1" customWidth="1"/>
    <col min="11051" max="11271" width="9.140625" style="17"/>
    <col min="11272" max="11272" width="3.7109375" style="17" customWidth="1"/>
    <col min="11273" max="11273" width="34.42578125" style="17" customWidth="1"/>
    <col min="11274" max="11274" width="11.5703125" style="17" customWidth="1"/>
    <col min="11275" max="11275" width="11.7109375" style="17" customWidth="1"/>
    <col min="11276" max="11302" width="8.42578125" style="17" customWidth="1"/>
    <col min="11303" max="11303" width="11.42578125" style="17" customWidth="1"/>
    <col min="11304" max="11304" width="9.42578125" style="17" customWidth="1"/>
    <col min="11305" max="11305" width="11.5703125" style="17" bestFit="1" customWidth="1"/>
    <col min="11306" max="11306" width="9.28515625" style="17" bestFit="1" customWidth="1"/>
    <col min="11307" max="11527" width="9.140625" style="17"/>
    <col min="11528" max="11528" width="3.7109375" style="17" customWidth="1"/>
    <col min="11529" max="11529" width="34.42578125" style="17" customWidth="1"/>
    <col min="11530" max="11530" width="11.5703125" style="17" customWidth="1"/>
    <col min="11531" max="11531" width="11.7109375" style="17" customWidth="1"/>
    <col min="11532" max="11558" width="8.42578125" style="17" customWidth="1"/>
    <col min="11559" max="11559" width="11.42578125" style="17" customWidth="1"/>
    <col min="11560" max="11560" width="9.42578125" style="17" customWidth="1"/>
    <col min="11561" max="11561" width="11.5703125" style="17" bestFit="1" customWidth="1"/>
    <col min="11562" max="11562" width="9.28515625" style="17" bestFit="1" customWidth="1"/>
    <col min="11563" max="11783" width="9.140625" style="17"/>
    <col min="11784" max="11784" width="3.7109375" style="17" customWidth="1"/>
    <col min="11785" max="11785" width="34.42578125" style="17" customWidth="1"/>
    <col min="11786" max="11786" width="11.5703125" style="17" customWidth="1"/>
    <col min="11787" max="11787" width="11.7109375" style="17" customWidth="1"/>
    <col min="11788" max="11814" width="8.42578125" style="17" customWidth="1"/>
    <col min="11815" max="11815" width="11.42578125" style="17" customWidth="1"/>
    <col min="11816" max="11816" width="9.42578125" style="17" customWidth="1"/>
    <col min="11817" max="11817" width="11.5703125" style="17" bestFit="1" customWidth="1"/>
    <col min="11818" max="11818" width="9.28515625" style="17" bestFit="1" customWidth="1"/>
    <col min="11819" max="12039" width="9.140625" style="17"/>
    <col min="12040" max="12040" width="3.7109375" style="17" customWidth="1"/>
    <col min="12041" max="12041" width="34.42578125" style="17" customWidth="1"/>
    <col min="12042" max="12042" width="11.5703125" style="17" customWidth="1"/>
    <col min="12043" max="12043" width="11.7109375" style="17" customWidth="1"/>
    <col min="12044" max="12070" width="8.42578125" style="17" customWidth="1"/>
    <col min="12071" max="12071" width="11.42578125" style="17" customWidth="1"/>
    <col min="12072" max="12072" width="9.42578125" style="17" customWidth="1"/>
    <col min="12073" max="12073" width="11.5703125" style="17" bestFit="1" customWidth="1"/>
    <col min="12074" max="12074" width="9.28515625" style="17" bestFit="1" customWidth="1"/>
    <col min="12075" max="12295" width="9.140625" style="17"/>
    <col min="12296" max="12296" width="3.7109375" style="17" customWidth="1"/>
    <col min="12297" max="12297" width="34.42578125" style="17" customWidth="1"/>
    <col min="12298" max="12298" width="11.5703125" style="17" customWidth="1"/>
    <col min="12299" max="12299" width="11.7109375" style="17" customWidth="1"/>
    <col min="12300" max="12326" width="8.42578125" style="17" customWidth="1"/>
    <col min="12327" max="12327" width="11.42578125" style="17" customWidth="1"/>
    <col min="12328" max="12328" width="9.42578125" style="17" customWidth="1"/>
    <col min="12329" max="12329" width="11.5703125" style="17" bestFit="1" customWidth="1"/>
    <col min="12330" max="12330" width="9.28515625" style="17" bestFit="1" customWidth="1"/>
    <col min="12331" max="12551" width="9.140625" style="17"/>
    <col min="12552" max="12552" width="3.7109375" style="17" customWidth="1"/>
    <col min="12553" max="12553" width="34.42578125" style="17" customWidth="1"/>
    <col min="12554" max="12554" width="11.5703125" style="17" customWidth="1"/>
    <col min="12555" max="12555" width="11.7109375" style="17" customWidth="1"/>
    <col min="12556" max="12582" width="8.42578125" style="17" customWidth="1"/>
    <col min="12583" max="12583" width="11.42578125" style="17" customWidth="1"/>
    <col min="12584" max="12584" width="9.42578125" style="17" customWidth="1"/>
    <col min="12585" max="12585" width="11.5703125" style="17" bestFit="1" customWidth="1"/>
    <col min="12586" max="12586" width="9.28515625" style="17" bestFit="1" customWidth="1"/>
    <col min="12587" max="12807" width="9.140625" style="17"/>
    <col min="12808" max="12808" width="3.7109375" style="17" customWidth="1"/>
    <col min="12809" max="12809" width="34.42578125" style="17" customWidth="1"/>
    <col min="12810" max="12810" width="11.5703125" style="17" customWidth="1"/>
    <col min="12811" max="12811" width="11.7109375" style="17" customWidth="1"/>
    <col min="12812" max="12838" width="8.42578125" style="17" customWidth="1"/>
    <col min="12839" max="12839" width="11.42578125" style="17" customWidth="1"/>
    <col min="12840" max="12840" width="9.42578125" style="17" customWidth="1"/>
    <col min="12841" max="12841" width="11.5703125" style="17" bestFit="1" customWidth="1"/>
    <col min="12842" max="12842" width="9.28515625" style="17" bestFit="1" customWidth="1"/>
    <col min="12843" max="13063" width="9.140625" style="17"/>
    <col min="13064" max="13064" width="3.7109375" style="17" customWidth="1"/>
    <col min="13065" max="13065" width="34.42578125" style="17" customWidth="1"/>
    <col min="13066" max="13066" width="11.5703125" style="17" customWidth="1"/>
    <col min="13067" max="13067" width="11.7109375" style="17" customWidth="1"/>
    <col min="13068" max="13094" width="8.42578125" style="17" customWidth="1"/>
    <col min="13095" max="13095" width="11.42578125" style="17" customWidth="1"/>
    <col min="13096" max="13096" width="9.42578125" style="17" customWidth="1"/>
    <col min="13097" max="13097" width="11.5703125" style="17" bestFit="1" customWidth="1"/>
    <col min="13098" max="13098" width="9.28515625" style="17" bestFit="1" customWidth="1"/>
    <col min="13099" max="13319" width="9.140625" style="17"/>
    <col min="13320" max="13320" width="3.7109375" style="17" customWidth="1"/>
    <col min="13321" max="13321" width="34.42578125" style="17" customWidth="1"/>
    <col min="13322" max="13322" width="11.5703125" style="17" customWidth="1"/>
    <col min="13323" max="13323" width="11.7109375" style="17" customWidth="1"/>
    <col min="13324" max="13350" width="8.42578125" style="17" customWidth="1"/>
    <col min="13351" max="13351" width="11.42578125" style="17" customWidth="1"/>
    <col min="13352" max="13352" width="9.42578125" style="17" customWidth="1"/>
    <col min="13353" max="13353" width="11.5703125" style="17" bestFit="1" customWidth="1"/>
    <col min="13354" max="13354" width="9.28515625" style="17" bestFit="1" customWidth="1"/>
    <col min="13355" max="13575" width="9.140625" style="17"/>
    <col min="13576" max="13576" width="3.7109375" style="17" customWidth="1"/>
    <col min="13577" max="13577" width="34.42578125" style="17" customWidth="1"/>
    <col min="13578" max="13578" width="11.5703125" style="17" customWidth="1"/>
    <col min="13579" max="13579" width="11.7109375" style="17" customWidth="1"/>
    <col min="13580" max="13606" width="8.42578125" style="17" customWidth="1"/>
    <col min="13607" max="13607" width="11.42578125" style="17" customWidth="1"/>
    <col min="13608" max="13608" width="9.42578125" style="17" customWidth="1"/>
    <col min="13609" max="13609" width="11.5703125" style="17" bestFit="1" customWidth="1"/>
    <col min="13610" max="13610" width="9.28515625" style="17" bestFit="1" customWidth="1"/>
    <col min="13611" max="13831" width="9.140625" style="17"/>
    <col min="13832" max="13832" width="3.7109375" style="17" customWidth="1"/>
    <col min="13833" max="13833" width="34.42578125" style="17" customWidth="1"/>
    <col min="13834" max="13834" width="11.5703125" style="17" customWidth="1"/>
    <col min="13835" max="13835" width="11.7109375" style="17" customWidth="1"/>
    <col min="13836" max="13862" width="8.42578125" style="17" customWidth="1"/>
    <col min="13863" max="13863" width="11.42578125" style="17" customWidth="1"/>
    <col min="13864" max="13864" width="9.42578125" style="17" customWidth="1"/>
    <col min="13865" max="13865" width="11.5703125" style="17" bestFit="1" customWidth="1"/>
    <col min="13866" max="13866" width="9.28515625" style="17" bestFit="1" customWidth="1"/>
    <col min="13867" max="14087" width="9.140625" style="17"/>
    <col min="14088" max="14088" width="3.7109375" style="17" customWidth="1"/>
    <col min="14089" max="14089" width="34.42578125" style="17" customWidth="1"/>
    <col min="14090" max="14090" width="11.5703125" style="17" customWidth="1"/>
    <col min="14091" max="14091" width="11.7109375" style="17" customWidth="1"/>
    <col min="14092" max="14118" width="8.42578125" style="17" customWidth="1"/>
    <col min="14119" max="14119" width="11.42578125" style="17" customWidth="1"/>
    <col min="14120" max="14120" width="9.42578125" style="17" customWidth="1"/>
    <col min="14121" max="14121" width="11.5703125" style="17" bestFit="1" customWidth="1"/>
    <col min="14122" max="14122" width="9.28515625" style="17" bestFit="1" customWidth="1"/>
    <col min="14123" max="14343" width="9.140625" style="17"/>
    <col min="14344" max="14344" width="3.7109375" style="17" customWidth="1"/>
    <col min="14345" max="14345" width="34.42578125" style="17" customWidth="1"/>
    <col min="14346" max="14346" width="11.5703125" style="17" customWidth="1"/>
    <col min="14347" max="14347" width="11.7109375" style="17" customWidth="1"/>
    <col min="14348" max="14374" width="8.42578125" style="17" customWidth="1"/>
    <col min="14375" max="14375" width="11.42578125" style="17" customWidth="1"/>
    <col min="14376" max="14376" width="9.42578125" style="17" customWidth="1"/>
    <col min="14377" max="14377" width="11.5703125" style="17" bestFit="1" customWidth="1"/>
    <col min="14378" max="14378" width="9.28515625" style="17" bestFit="1" customWidth="1"/>
    <col min="14379" max="14599" width="9.140625" style="17"/>
    <col min="14600" max="14600" width="3.7109375" style="17" customWidth="1"/>
    <col min="14601" max="14601" width="34.42578125" style="17" customWidth="1"/>
    <col min="14602" max="14602" width="11.5703125" style="17" customWidth="1"/>
    <col min="14603" max="14603" width="11.7109375" style="17" customWidth="1"/>
    <col min="14604" max="14630" width="8.42578125" style="17" customWidth="1"/>
    <col min="14631" max="14631" width="11.42578125" style="17" customWidth="1"/>
    <col min="14632" max="14632" width="9.42578125" style="17" customWidth="1"/>
    <col min="14633" max="14633" width="11.5703125" style="17" bestFit="1" customWidth="1"/>
    <col min="14634" max="14634" width="9.28515625" style="17" bestFit="1" customWidth="1"/>
    <col min="14635" max="14855" width="9.140625" style="17"/>
    <col min="14856" max="14856" width="3.7109375" style="17" customWidth="1"/>
    <col min="14857" max="14857" width="34.42578125" style="17" customWidth="1"/>
    <col min="14858" max="14858" width="11.5703125" style="17" customWidth="1"/>
    <col min="14859" max="14859" width="11.7109375" style="17" customWidth="1"/>
    <col min="14860" max="14886" width="8.42578125" style="17" customWidth="1"/>
    <col min="14887" max="14887" width="11.42578125" style="17" customWidth="1"/>
    <col min="14888" max="14888" width="9.42578125" style="17" customWidth="1"/>
    <col min="14889" max="14889" width="11.5703125" style="17" bestFit="1" customWidth="1"/>
    <col min="14890" max="14890" width="9.28515625" style="17" bestFit="1" customWidth="1"/>
    <col min="14891" max="15111" width="9.140625" style="17"/>
    <col min="15112" max="15112" width="3.7109375" style="17" customWidth="1"/>
    <col min="15113" max="15113" width="34.42578125" style="17" customWidth="1"/>
    <col min="15114" max="15114" width="11.5703125" style="17" customWidth="1"/>
    <col min="15115" max="15115" width="11.7109375" style="17" customWidth="1"/>
    <col min="15116" max="15142" width="8.42578125" style="17" customWidth="1"/>
    <col min="15143" max="15143" width="11.42578125" style="17" customWidth="1"/>
    <col min="15144" max="15144" width="9.42578125" style="17" customWidth="1"/>
    <col min="15145" max="15145" width="11.5703125" style="17" bestFit="1" customWidth="1"/>
    <col min="15146" max="15146" width="9.28515625" style="17" bestFit="1" customWidth="1"/>
    <col min="15147" max="15367" width="9.140625" style="17"/>
    <col min="15368" max="15368" width="3.7109375" style="17" customWidth="1"/>
    <col min="15369" max="15369" width="34.42578125" style="17" customWidth="1"/>
    <col min="15370" max="15370" width="11.5703125" style="17" customWidth="1"/>
    <col min="15371" max="15371" width="11.7109375" style="17" customWidth="1"/>
    <col min="15372" max="15398" width="8.42578125" style="17" customWidth="1"/>
    <col min="15399" max="15399" width="11.42578125" style="17" customWidth="1"/>
    <col min="15400" max="15400" width="9.42578125" style="17" customWidth="1"/>
    <col min="15401" max="15401" width="11.5703125" style="17" bestFit="1" customWidth="1"/>
    <col min="15402" max="15402" width="9.28515625" style="17" bestFit="1" customWidth="1"/>
    <col min="15403" max="15623" width="9.140625" style="17"/>
    <col min="15624" max="15624" width="3.7109375" style="17" customWidth="1"/>
    <col min="15625" max="15625" width="34.42578125" style="17" customWidth="1"/>
    <col min="15626" max="15626" width="11.5703125" style="17" customWidth="1"/>
    <col min="15627" max="15627" width="11.7109375" style="17" customWidth="1"/>
    <col min="15628" max="15654" width="8.42578125" style="17" customWidth="1"/>
    <col min="15655" max="15655" width="11.42578125" style="17" customWidth="1"/>
    <col min="15656" max="15656" width="9.42578125" style="17" customWidth="1"/>
    <col min="15657" max="15657" width="11.5703125" style="17" bestFit="1" customWidth="1"/>
    <col min="15658" max="15658" width="9.28515625" style="17" bestFit="1" customWidth="1"/>
    <col min="15659" max="15879" width="9.140625" style="17"/>
    <col min="15880" max="15880" width="3.7109375" style="17" customWidth="1"/>
    <col min="15881" max="15881" width="34.42578125" style="17" customWidth="1"/>
    <col min="15882" max="15882" width="11.5703125" style="17" customWidth="1"/>
    <col min="15883" max="15883" width="11.7109375" style="17" customWidth="1"/>
    <col min="15884" max="15910" width="8.42578125" style="17" customWidth="1"/>
    <col min="15911" max="15911" width="11.42578125" style="17" customWidth="1"/>
    <col min="15912" max="15912" width="9.42578125" style="17" customWidth="1"/>
    <col min="15913" max="15913" width="11.5703125" style="17" bestFit="1" customWidth="1"/>
    <col min="15914" max="15914" width="9.28515625" style="17" bestFit="1" customWidth="1"/>
    <col min="15915" max="16135" width="9.140625" style="17"/>
    <col min="16136" max="16136" width="3.7109375" style="17" customWidth="1"/>
    <col min="16137" max="16137" width="34.42578125" style="17" customWidth="1"/>
    <col min="16138" max="16138" width="11.5703125" style="17" customWidth="1"/>
    <col min="16139" max="16139" width="11.7109375" style="17" customWidth="1"/>
    <col min="16140" max="16166" width="8.42578125" style="17" customWidth="1"/>
    <col min="16167" max="16167" width="11.42578125" style="17" customWidth="1"/>
    <col min="16168" max="16168" width="9.42578125" style="17" customWidth="1"/>
    <col min="16169" max="16169" width="11.5703125" style="17" bestFit="1" customWidth="1"/>
    <col min="16170" max="16170" width="9.28515625" style="17" bestFit="1" customWidth="1"/>
    <col min="16171" max="16384" width="9.140625" style="17"/>
  </cols>
  <sheetData>
    <row r="1" spans="1:49" s="161" customFormat="1" hidden="1" outlineLevel="1" x14ac:dyDescent="0.2">
      <c r="A1" s="20"/>
      <c r="D1" s="163" t="s">
        <v>73</v>
      </c>
      <c r="E1" s="164">
        <f>E56+'табель сирот'!D43</f>
        <v>1</v>
      </c>
      <c r="F1" s="164">
        <f>F55+'табель сирот'!E43</f>
        <v>1</v>
      </c>
      <c r="G1" s="164">
        <f>G55+'табель сирот'!F43</f>
        <v>1</v>
      </c>
      <c r="H1" s="164">
        <f>H55+'табель сирот'!G43</f>
        <v>2</v>
      </c>
      <c r="I1" s="164">
        <f>I55+'табель сирот'!H43</f>
        <v>0</v>
      </c>
      <c r="J1" s="164">
        <f>J55+'табель сирот'!I43</f>
        <v>2</v>
      </c>
      <c r="K1" s="164"/>
      <c r="L1" s="164">
        <f>L55+'табель сирот'!K43</f>
        <v>1</v>
      </c>
      <c r="M1" s="164"/>
      <c r="N1" s="164">
        <f>N55+'табель сирот'!M43</f>
        <v>2</v>
      </c>
      <c r="O1" s="164">
        <f>O55+'табель сирот'!N43</f>
        <v>0</v>
      </c>
      <c r="P1" s="164">
        <f>P55+'табель сирот'!O43</f>
        <v>0</v>
      </c>
      <c r="Q1" s="164">
        <f>Q55+'табель сирот'!P43</f>
        <v>2</v>
      </c>
      <c r="R1" s="164"/>
      <c r="S1" s="164">
        <f>S55+'табель сирот'!R43</f>
        <v>2</v>
      </c>
      <c r="T1" s="164">
        <f>T55+'табель сирот'!S43</f>
        <v>2</v>
      </c>
      <c r="U1" s="164">
        <f>U55+'табель сирот'!T43</f>
        <v>0</v>
      </c>
      <c r="V1" s="164">
        <f>V55+'табель сирот'!U43</f>
        <v>0</v>
      </c>
      <c r="W1" s="164">
        <f>W55+'табель сирот'!V43</f>
        <v>0</v>
      </c>
      <c r="X1" s="164">
        <f>X55+'табель сирот'!W43</f>
        <v>1</v>
      </c>
      <c r="Y1" s="164">
        <f>Y55+'табель сирот'!Y43</f>
        <v>1</v>
      </c>
      <c r="Z1" s="164">
        <f>Z55+'табель сирот'!Z43</f>
        <v>1</v>
      </c>
      <c r="AA1" s="164">
        <f>AA55+'табель сирот'!AA43</f>
        <v>1</v>
      </c>
      <c r="AB1" s="164">
        <f>AB55+'табель сирот'!AB43</f>
        <v>0</v>
      </c>
      <c r="AC1" s="164">
        <f>AC55+'табель сирот'!AC43</f>
        <v>0</v>
      </c>
      <c r="AD1" s="164">
        <f>AD55+'табель сирот'!AD43</f>
        <v>0</v>
      </c>
      <c r="AE1" s="164"/>
      <c r="AF1" s="164">
        <f>AF55+'табель сирот'!AF43</f>
        <v>2</v>
      </c>
      <c r="AG1" s="164">
        <f>AG55+'табель сирот'!AH43</f>
        <v>2</v>
      </c>
      <c r="AH1" s="164">
        <f>AH55+'табель сирот'!AI43</f>
        <v>1</v>
      </c>
      <c r="AI1" s="164">
        <f>AI55+'табель сирот'!AJ43</f>
        <v>0</v>
      </c>
      <c r="AJ1" s="164"/>
      <c r="AK1" s="164"/>
      <c r="AL1" s="164"/>
      <c r="AM1" s="164"/>
      <c r="AN1" s="164"/>
      <c r="AO1" s="164"/>
      <c r="AP1" s="46"/>
      <c r="AQ1" s="20"/>
      <c r="AS1"/>
      <c r="AU1" s="134"/>
    </row>
    <row r="2" spans="1:49" s="161" customFormat="1" hidden="1" outlineLevel="1" x14ac:dyDescent="0.2">
      <c r="A2" s="20"/>
      <c r="D2" s="165" t="s">
        <v>74</v>
      </c>
      <c r="E2" s="166" t="e">
        <f>E57+'табель сирот'!D44</f>
        <v>#REF!</v>
      </c>
      <c r="F2" s="166" t="e">
        <f>F56+'табель сирот'!E44</f>
        <v>#REF!</v>
      </c>
      <c r="G2" s="166" t="e">
        <f>G56+'табель сирот'!F44</f>
        <v>#REF!</v>
      </c>
      <c r="H2" s="166" t="e">
        <f>H56+'табель сирот'!G44</f>
        <v>#REF!</v>
      </c>
      <c r="I2" s="166" t="e">
        <f>I56+'табель сирот'!H44</f>
        <v>#REF!</v>
      </c>
      <c r="J2" s="166" t="e">
        <f>J56+'табель сирот'!I44</f>
        <v>#REF!</v>
      </c>
      <c r="K2" s="166"/>
      <c r="L2" s="166" t="e">
        <f>L56+'табель сирот'!K44</f>
        <v>#REF!</v>
      </c>
      <c r="M2" s="166"/>
      <c r="N2" s="166" t="e">
        <f>N56+'табель сирот'!M44</f>
        <v>#REF!</v>
      </c>
      <c r="O2" s="166" t="e">
        <f>O56+'табель сирот'!N44</f>
        <v>#REF!</v>
      </c>
      <c r="P2" s="166" t="e">
        <f>P56+'табель сирот'!O44</f>
        <v>#REF!</v>
      </c>
      <c r="Q2" s="166" t="e">
        <f>Q56+'табель сирот'!P44</f>
        <v>#REF!</v>
      </c>
      <c r="R2" s="166"/>
      <c r="S2" s="166" t="e">
        <f>S56+'табель сирот'!R44</f>
        <v>#REF!</v>
      </c>
      <c r="T2" s="166" t="e">
        <f>T56+'табель сирот'!S44</f>
        <v>#REF!</v>
      </c>
      <c r="U2" s="166" t="e">
        <f>U56+'табель сирот'!T44</f>
        <v>#REF!</v>
      </c>
      <c r="V2" s="166" t="e">
        <f>V56+'табель сирот'!U44</f>
        <v>#REF!</v>
      </c>
      <c r="W2" s="166" t="e">
        <f>W56+'табель сирот'!V44</f>
        <v>#REF!</v>
      </c>
      <c r="X2" s="166" t="e">
        <f>X56+'табель сирот'!W44</f>
        <v>#REF!</v>
      </c>
      <c r="Y2" s="166" t="e">
        <f>Y56+'табель сирот'!Y44</f>
        <v>#REF!</v>
      </c>
      <c r="Z2" s="166" t="e">
        <f>Z56+'табель сирот'!Z44</f>
        <v>#REF!</v>
      </c>
      <c r="AA2" s="166" t="e">
        <f>AA56+'табель сирот'!AA44</f>
        <v>#REF!</v>
      </c>
      <c r="AB2" s="166" t="e">
        <f>AB56+'табель сирот'!AB44</f>
        <v>#REF!</v>
      </c>
      <c r="AC2" s="166" t="e">
        <f>AC56+'табель сирот'!AC44</f>
        <v>#REF!</v>
      </c>
      <c r="AD2" s="166" t="e">
        <f>AD56+'табель сирот'!AD44</f>
        <v>#REF!</v>
      </c>
      <c r="AE2" s="166"/>
      <c r="AF2" s="166" t="e">
        <f>AF56+'табель сирот'!AF44</f>
        <v>#REF!</v>
      </c>
      <c r="AG2" s="166" t="e">
        <f>AG56+'табель сирот'!AH44</f>
        <v>#REF!</v>
      </c>
      <c r="AH2" s="166" t="e">
        <f>AH56+'табель сирот'!AI44</f>
        <v>#REF!</v>
      </c>
      <c r="AI2" s="166" t="e">
        <f>AI56+'табель сирот'!AJ44</f>
        <v>#REF!</v>
      </c>
      <c r="AJ2" s="166"/>
      <c r="AK2" s="166"/>
      <c r="AL2" s="166"/>
      <c r="AM2" s="166"/>
      <c r="AN2" s="166"/>
      <c r="AO2" s="166"/>
      <c r="AP2" s="46"/>
      <c r="AQ2" s="20"/>
      <c r="AS2"/>
      <c r="AU2" s="134"/>
    </row>
    <row r="3" spans="1:49" s="161" customFormat="1" hidden="1" outlineLevel="1" x14ac:dyDescent="0.2">
      <c r="A3" s="20"/>
      <c r="D3" s="167" t="s">
        <v>75</v>
      </c>
      <c r="E3" s="168" t="e">
        <f>E58+'табель сирот'!D45</f>
        <v>#REF!</v>
      </c>
      <c r="F3" s="168" t="e">
        <f>F57+'табель сирот'!E45</f>
        <v>#REF!</v>
      </c>
      <c r="G3" s="168" t="e">
        <f>G57+'табель сирот'!F45</f>
        <v>#REF!</v>
      </c>
      <c r="H3" s="168" t="e">
        <f>H57+'табель сирот'!G45</f>
        <v>#REF!</v>
      </c>
      <c r="I3" s="168" t="e">
        <f>I57+'табель сирот'!H45</f>
        <v>#REF!</v>
      </c>
      <c r="J3" s="168" t="e">
        <f>J57+'табель сирот'!I45</f>
        <v>#REF!</v>
      </c>
      <c r="K3" s="168"/>
      <c r="L3" s="168" t="e">
        <f>L57+'табель сирот'!K45</f>
        <v>#REF!</v>
      </c>
      <c r="M3" s="168"/>
      <c r="N3" s="168" t="e">
        <f>N57+'табель сирот'!M45</f>
        <v>#REF!</v>
      </c>
      <c r="O3" s="168" t="e">
        <f>O57+'табель сирот'!N45</f>
        <v>#REF!</v>
      </c>
      <c r="P3" s="168" t="e">
        <f>P57+'табель сирот'!O45</f>
        <v>#REF!</v>
      </c>
      <c r="Q3" s="168" t="e">
        <f>Q57+'табель сирот'!P45</f>
        <v>#REF!</v>
      </c>
      <c r="R3" s="168"/>
      <c r="S3" s="168" t="e">
        <f>S57+'табель сирот'!R45</f>
        <v>#REF!</v>
      </c>
      <c r="T3" s="168" t="e">
        <f>T57+'табель сирот'!S45</f>
        <v>#REF!</v>
      </c>
      <c r="U3" s="168" t="e">
        <f>U57+'табель сирот'!T45</f>
        <v>#REF!</v>
      </c>
      <c r="V3" s="168" t="e">
        <f>V57+'табель сирот'!U45</f>
        <v>#REF!</v>
      </c>
      <c r="W3" s="168" t="e">
        <f>W57+'табель сирот'!V45</f>
        <v>#REF!</v>
      </c>
      <c r="X3" s="168" t="e">
        <f>X57+'табель сирот'!W45</f>
        <v>#REF!</v>
      </c>
      <c r="Y3" s="168" t="e">
        <f>Y57+'табель сирот'!Y45</f>
        <v>#REF!</v>
      </c>
      <c r="Z3" s="168" t="e">
        <f>Z57+'табель сирот'!Z45</f>
        <v>#REF!</v>
      </c>
      <c r="AA3" s="168" t="e">
        <f>AA57+'табель сирот'!AA45</f>
        <v>#REF!</v>
      </c>
      <c r="AB3" s="168" t="e">
        <f>AB57+'табель сирот'!AB45</f>
        <v>#REF!</v>
      </c>
      <c r="AC3" s="168" t="e">
        <f>AC57+'табель сирот'!AC45</f>
        <v>#REF!</v>
      </c>
      <c r="AD3" s="168" t="e">
        <f>AD57+'табель сирот'!AD45</f>
        <v>#REF!</v>
      </c>
      <c r="AE3" s="168"/>
      <c r="AF3" s="168" t="e">
        <f>AF57+'табель сирот'!AF45</f>
        <v>#REF!</v>
      </c>
      <c r="AG3" s="168" t="e">
        <f>AG57+'табель сирот'!AH45</f>
        <v>#REF!</v>
      </c>
      <c r="AH3" s="168" t="e">
        <f>AH57+'табель сирот'!AI45</f>
        <v>#REF!</v>
      </c>
      <c r="AI3" s="168" t="e">
        <f>AI57+'табель сирот'!AJ45</f>
        <v>#REF!</v>
      </c>
      <c r="AJ3" s="168"/>
      <c r="AK3" s="168"/>
      <c r="AL3" s="168"/>
      <c r="AM3" s="168"/>
      <c r="AN3" s="168"/>
      <c r="AO3" s="168"/>
      <c r="AP3" s="46"/>
      <c r="AQ3" s="20"/>
      <c r="AS3"/>
      <c r="AU3" s="134"/>
    </row>
    <row r="4" spans="1:49" s="161" customFormat="1" hidden="1" outlineLevel="1" x14ac:dyDescent="0.2">
      <c r="A4" s="20"/>
      <c r="D4" s="169" t="s">
        <v>76</v>
      </c>
      <c r="E4" s="170">
        <f>E59+'табель сирот'!D46</f>
        <v>0</v>
      </c>
      <c r="F4" s="170" t="e">
        <f>F58+'табель сирот'!E46</f>
        <v>#REF!</v>
      </c>
      <c r="G4" s="170" t="e">
        <f>G58+'табель сирот'!F46</f>
        <v>#REF!</v>
      </c>
      <c r="H4" s="170" t="e">
        <f>H58+'табель сирот'!G46</f>
        <v>#REF!</v>
      </c>
      <c r="I4" s="170" t="e">
        <f>I58+'табель сирот'!H46</f>
        <v>#REF!</v>
      </c>
      <c r="J4" s="170" t="e">
        <f>J58+'табель сирот'!I46</f>
        <v>#REF!</v>
      </c>
      <c r="K4" s="170"/>
      <c r="L4" s="170" t="e">
        <f>L58+'табель сирот'!K46</f>
        <v>#REF!</v>
      </c>
      <c r="M4" s="170"/>
      <c r="N4" s="170" t="e">
        <f>N58+'табель сирот'!M46</f>
        <v>#REF!</v>
      </c>
      <c r="O4" s="170" t="e">
        <f>O58+'табель сирот'!N46</f>
        <v>#REF!</v>
      </c>
      <c r="P4" s="170" t="e">
        <f>P58+'табель сирот'!O46</f>
        <v>#REF!</v>
      </c>
      <c r="Q4" s="170" t="e">
        <f>Q58+'табель сирот'!P46</f>
        <v>#REF!</v>
      </c>
      <c r="R4" s="170"/>
      <c r="S4" s="170" t="e">
        <f>S58+'табель сирот'!R46</f>
        <v>#REF!</v>
      </c>
      <c r="T4" s="170" t="e">
        <f>T58+'табель сирот'!S46</f>
        <v>#REF!</v>
      </c>
      <c r="U4" s="170" t="e">
        <f>U58+'табель сирот'!T46</f>
        <v>#REF!</v>
      </c>
      <c r="V4" s="170" t="e">
        <f>V58+'табель сирот'!U46</f>
        <v>#REF!</v>
      </c>
      <c r="W4" s="170" t="e">
        <f>W58+'табель сирот'!V46</f>
        <v>#REF!</v>
      </c>
      <c r="X4" s="170" t="e">
        <f>X58+'табель сирот'!W46</f>
        <v>#REF!</v>
      </c>
      <c r="Y4" s="170" t="e">
        <f>Y58+'табель сирот'!Y46</f>
        <v>#REF!</v>
      </c>
      <c r="Z4" s="170" t="e">
        <f>Z58+'табель сирот'!Z46</f>
        <v>#REF!</v>
      </c>
      <c r="AA4" s="170" t="e">
        <f>AA58+'табель сирот'!AA46</f>
        <v>#REF!</v>
      </c>
      <c r="AB4" s="170" t="e">
        <f>AB58+'табель сирот'!AB46</f>
        <v>#REF!</v>
      </c>
      <c r="AC4" s="170" t="e">
        <f>AC58+'табель сирот'!AC46</f>
        <v>#REF!</v>
      </c>
      <c r="AD4" s="170" t="e">
        <f>AD58+'табель сирот'!AD46</f>
        <v>#REF!</v>
      </c>
      <c r="AE4" s="170"/>
      <c r="AF4" s="170" t="e">
        <f>AF58+'табель сирот'!AF46</f>
        <v>#REF!</v>
      </c>
      <c r="AG4" s="170" t="e">
        <f>AG58+'табель сирот'!AH46</f>
        <v>#REF!</v>
      </c>
      <c r="AH4" s="170" t="e">
        <f>AH58+'табель сирот'!AI46</f>
        <v>#REF!</v>
      </c>
      <c r="AI4" s="170" t="e">
        <f>AI58+'табель сирот'!AJ46</f>
        <v>#REF!</v>
      </c>
      <c r="AJ4" s="170"/>
      <c r="AK4" s="170"/>
      <c r="AL4" s="170"/>
      <c r="AM4" s="170"/>
      <c r="AN4" s="170"/>
      <c r="AO4" s="170"/>
      <c r="AP4" s="46"/>
      <c r="AQ4" s="20"/>
      <c r="AS4"/>
      <c r="AU4" s="134"/>
    </row>
    <row r="5" spans="1:49" s="161" customFormat="1" hidden="1" outlineLevel="1" x14ac:dyDescent="0.2">
      <c r="A5" s="20"/>
      <c r="D5" s="20"/>
      <c r="E5" s="162" t="e">
        <f t="shared" ref="E5" si="0">SUM(E1:E4)</f>
        <v>#REF!</v>
      </c>
      <c r="F5" s="162" t="e">
        <f t="shared" ref="F5" si="1">SUM(F1:F4)</f>
        <v>#REF!</v>
      </c>
      <c r="G5" s="162" t="e">
        <f>SUM(G1:G4)</f>
        <v>#REF!</v>
      </c>
      <c r="H5" s="162" t="e">
        <f t="shared" ref="H5" si="2">SUM(H1:H4)</f>
        <v>#REF!</v>
      </c>
      <c r="I5" s="162" t="e">
        <f t="shared" ref="I5" si="3">SUM(I1:I4)</f>
        <v>#REF!</v>
      </c>
      <c r="J5" s="162" t="e">
        <f>SUM(J1:J4)</f>
        <v>#REF!</v>
      </c>
      <c r="K5" s="162"/>
      <c r="L5" s="162" t="e">
        <f t="shared" ref="L5" si="4">SUM(L1:L4)</f>
        <v>#REF!</v>
      </c>
      <c r="M5" s="162"/>
      <c r="N5" s="162" t="e">
        <f t="shared" ref="N5" si="5">SUM(N1:N4)</f>
        <v>#REF!</v>
      </c>
      <c r="O5" s="162" t="e">
        <f t="shared" ref="O5" si="6">SUM(O1:O4)</f>
        <v>#REF!</v>
      </c>
      <c r="P5" s="162" t="e">
        <f t="shared" ref="P5" si="7">SUM(P1:P4)</f>
        <v>#REF!</v>
      </c>
      <c r="Q5" s="162" t="e">
        <f t="shared" ref="Q5" si="8">SUM(Q1:Q4)</f>
        <v>#REF!</v>
      </c>
      <c r="R5" s="162"/>
      <c r="S5" s="162" t="e">
        <f t="shared" ref="S5" si="9">SUM(S1:S4)</f>
        <v>#REF!</v>
      </c>
      <c r="T5" s="162" t="e">
        <f t="shared" ref="T5" si="10">SUM(T1:T4)</f>
        <v>#REF!</v>
      </c>
      <c r="U5" s="162" t="e">
        <f t="shared" ref="U5" si="11">SUM(U1:U4)</f>
        <v>#REF!</v>
      </c>
      <c r="V5" s="162" t="e">
        <f>SUM(V1:V4)</f>
        <v>#REF!</v>
      </c>
      <c r="W5" s="162" t="e">
        <f t="shared" ref="W5" si="12">SUM(W1:W4)</f>
        <v>#REF!</v>
      </c>
      <c r="X5" s="162" t="e">
        <f t="shared" ref="X5" si="13">SUM(X1:X4)</f>
        <v>#REF!</v>
      </c>
      <c r="Y5" s="162" t="e">
        <f t="shared" ref="Y5" si="14">SUM(Y1:Y4)</f>
        <v>#REF!</v>
      </c>
      <c r="Z5" s="162" t="e">
        <f t="shared" ref="Z5" si="15">SUM(Z1:Z4)</f>
        <v>#REF!</v>
      </c>
      <c r="AA5" s="162" t="e">
        <f t="shared" ref="AA5" si="16">SUM(AA1:AA4)</f>
        <v>#REF!</v>
      </c>
      <c r="AB5" s="162" t="e">
        <f>SUM(AB1:AB4)</f>
        <v>#REF!</v>
      </c>
      <c r="AC5" s="162" t="e">
        <f t="shared" ref="AC5" si="17">SUM(AC1:AC4)</f>
        <v>#REF!</v>
      </c>
      <c r="AD5" s="162" t="e">
        <f t="shared" ref="AD5" si="18">SUM(AD1:AD4)</f>
        <v>#REF!</v>
      </c>
      <c r="AE5" s="162"/>
      <c r="AF5" s="162" t="e">
        <f t="shared" ref="AF5:AI5" si="19">SUM(AF1:AF4)</f>
        <v>#REF!</v>
      </c>
      <c r="AG5" s="162" t="e">
        <f t="shared" si="19"/>
        <v>#REF!</v>
      </c>
      <c r="AH5" s="162" t="e">
        <f t="shared" si="19"/>
        <v>#REF!</v>
      </c>
      <c r="AI5" s="162" t="e">
        <f t="shared" si="19"/>
        <v>#REF!</v>
      </c>
      <c r="AJ5" s="162"/>
      <c r="AK5" s="162"/>
      <c r="AL5" s="162"/>
      <c r="AM5" s="162"/>
      <c r="AN5" s="162"/>
      <c r="AO5" s="162"/>
      <c r="AP5" s="46"/>
      <c r="AQ5" s="20"/>
      <c r="AS5"/>
      <c r="AU5" s="134"/>
    </row>
    <row r="6" spans="1:49" s="135" customFormat="1" ht="11.25" hidden="1" customHeight="1" outlineLevel="1" x14ac:dyDescent="0.2">
      <c r="A6" s="134"/>
      <c r="D6" s="136" t="s">
        <v>60</v>
      </c>
      <c r="E6" s="171">
        <f>E45+'табель сирот'!D37-E51</f>
        <v>-37</v>
      </c>
      <c r="F6" s="171">
        <f>F44+'табель сирот'!E37-F50</f>
        <v>-40</v>
      </c>
      <c r="G6" s="171">
        <f>G44+'табель сирот'!F37-G50</f>
        <v>-39</v>
      </c>
      <c r="H6" s="171">
        <f>H44+'табель сирот'!G37-H50</f>
        <v>-45</v>
      </c>
      <c r="I6" s="171">
        <f>I44+'табель сирот'!H37-I50</f>
        <v>-33</v>
      </c>
      <c r="J6" s="171">
        <f>J44+'табель сирот'!I37-J50</f>
        <v>-26</v>
      </c>
      <c r="K6" s="171"/>
      <c r="L6" s="171">
        <f>L44+'табель сирот'!K37-L50</f>
        <v>-47</v>
      </c>
      <c r="M6" s="171"/>
      <c r="N6" s="171">
        <f>N44+'табель сирот'!M37-N50</f>
        <v>-45</v>
      </c>
      <c r="O6" s="171">
        <f>O44+'табель сирот'!N37-O50</f>
        <v>-49</v>
      </c>
      <c r="P6" s="171">
        <f>P44+'табель сирот'!O37-P50</f>
        <v>-48</v>
      </c>
      <c r="Q6" s="171">
        <f>Q44+'табель сирот'!P37-Q50</f>
        <v>-38</v>
      </c>
      <c r="R6" s="171"/>
      <c r="S6" s="171">
        <f>S44+'табель сирот'!R37-S50</f>
        <v>-40</v>
      </c>
      <c r="T6" s="171">
        <f>T44+'табель сирот'!S37-T50</f>
        <v>-46</v>
      </c>
      <c r="U6" s="171">
        <f>U44+'табель сирот'!T37-U50</f>
        <v>-44</v>
      </c>
      <c r="V6" s="171">
        <f>V44+'табель сирот'!U37-V50</f>
        <v>-42</v>
      </c>
      <c r="W6" s="171">
        <f>W44+'табель сирот'!V37-W50</f>
        <v>0</v>
      </c>
      <c r="X6" s="171">
        <f>X44+'табель сирот'!W37-X50</f>
        <v>2</v>
      </c>
      <c r="Y6" s="171">
        <f>Y44+'табель сирот'!Y37-Y50</f>
        <v>2</v>
      </c>
      <c r="Z6" s="171">
        <f>Z44+'табель сирот'!Z37-Z50</f>
        <v>2</v>
      </c>
      <c r="AA6" s="171">
        <f>AA44+'табель сирот'!AA37-AA50</f>
        <v>2</v>
      </c>
      <c r="AB6" s="171">
        <f>AB44+'табель сирот'!AB37-AB50</f>
        <v>0</v>
      </c>
      <c r="AC6" s="171">
        <f>AC44+'табель сирот'!AC37-AC50</f>
        <v>0</v>
      </c>
      <c r="AD6" s="171">
        <f>AD44+'табель сирот'!AD37-AD50</f>
        <v>1</v>
      </c>
      <c r="AE6" s="171"/>
      <c r="AF6" s="171">
        <f>AF44+'табель сирот'!AF37-AF50</f>
        <v>4</v>
      </c>
      <c r="AG6" s="171">
        <f>AG44+'табель сирот'!AH37-AG50</f>
        <v>3</v>
      </c>
      <c r="AH6" s="171">
        <f>AH44+'табель сирот'!AI37-AH50</f>
        <v>1</v>
      </c>
      <c r="AI6" s="171">
        <f>AI44+'табель сирот'!AJ37-AI50</f>
        <v>0</v>
      </c>
      <c r="AJ6" s="171"/>
      <c r="AK6" s="171"/>
      <c r="AL6" s="171"/>
      <c r="AM6" s="171"/>
      <c r="AN6" s="171"/>
      <c r="AO6" s="171"/>
      <c r="AP6" s="148">
        <f>AP44+'табель сирот'!AQ37-AP50</f>
        <v>-557</v>
      </c>
      <c r="AQ6" s="134"/>
      <c r="AU6" s="134"/>
    </row>
    <row r="7" spans="1:49" s="140" customFormat="1" ht="32.25" customHeight="1" collapsed="1" x14ac:dyDescent="0.25">
      <c r="A7" s="138" t="s">
        <v>62</v>
      </c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 t="s">
        <v>0</v>
      </c>
      <c r="R7" s="138"/>
      <c r="S7" s="426" t="s">
        <v>126</v>
      </c>
      <c r="T7" s="426"/>
      <c r="U7" s="426"/>
      <c r="V7" s="138" t="s">
        <v>115</v>
      </c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41" t="s">
        <v>26</v>
      </c>
      <c r="AQ7" s="139"/>
      <c r="AU7" s="134"/>
    </row>
    <row r="8" spans="1:49" s="5" customFormat="1" ht="16.5" customHeight="1" x14ac:dyDescent="0.2">
      <c r="A8" s="4"/>
      <c r="C8" s="6"/>
      <c r="D8" s="4"/>
      <c r="AG8" s="7"/>
      <c r="AH8" s="7"/>
      <c r="AI8" s="7"/>
      <c r="AJ8" s="7"/>
      <c r="AK8" s="7"/>
      <c r="AL8" s="7"/>
      <c r="AM8" s="7"/>
      <c r="AN8" s="7"/>
      <c r="AO8" s="7"/>
      <c r="AP8" s="137"/>
      <c r="AQ8" s="4"/>
      <c r="AU8" s="172"/>
    </row>
    <row r="9" spans="1:49" s="9" customFormat="1" ht="21.75" customHeight="1" x14ac:dyDescent="0.2">
      <c r="A9" s="428" t="s">
        <v>1</v>
      </c>
      <c r="B9" s="429" t="s">
        <v>65</v>
      </c>
      <c r="C9" s="429"/>
      <c r="D9" s="142" t="s">
        <v>63</v>
      </c>
      <c r="E9" s="191">
        <v>1</v>
      </c>
      <c r="F9" s="192">
        <v>2</v>
      </c>
      <c r="G9" s="192">
        <v>3</v>
      </c>
      <c r="H9" s="192">
        <v>4</v>
      </c>
      <c r="I9" s="192">
        <v>5</v>
      </c>
      <c r="J9" s="192">
        <v>6</v>
      </c>
      <c r="K9" s="192">
        <v>7</v>
      </c>
      <c r="L9" s="192">
        <v>8</v>
      </c>
      <c r="M9" s="192">
        <v>9</v>
      </c>
      <c r="N9" s="192">
        <v>10</v>
      </c>
      <c r="O9" s="192">
        <v>11</v>
      </c>
      <c r="P9" s="192">
        <v>12</v>
      </c>
      <c r="Q9" s="192">
        <v>13</v>
      </c>
      <c r="R9" s="192">
        <v>14</v>
      </c>
      <c r="S9" s="192">
        <v>15</v>
      </c>
      <c r="T9" s="192">
        <v>16</v>
      </c>
      <c r="U9" s="192">
        <v>17</v>
      </c>
      <c r="V9" s="192">
        <v>18</v>
      </c>
      <c r="W9" s="192">
        <v>19</v>
      </c>
      <c r="X9" s="192">
        <v>20</v>
      </c>
      <c r="Y9" s="192"/>
      <c r="Z9" s="192"/>
      <c r="AA9" s="192"/>
      <c r="AB9" s="192"/>
      <c r="AC9" s="192"/>
      <c r="AD9" s="192"/>
      <c r="AE9" s="192">
        <v>21</v>
      </c>
      <c r="AF9" s="192">
        <v>22</v>
      </c>
      <c r="AG9" s="192">
        <v>23</v>
      </c>
      <c r="AH9" s="192">
        <v>24</v>
      </c>
      <c r="AI9" s="192">
        <v>25</v>
      </c>
      <c r="AJ9" s="192">
        <v>26</v>
      </c>
      <c r="AK9" s="192">
        <v>27</v>
      </c>
      <c r="AL9" s="192">
        <v>28</v>
      </c>
      <c r="AM9" s="192">
        <v>29</v>
      </c>
      <c r="AN9" s="192">
        <v>30</v>
      </c>
      <c r="AO9" s="192">
        <v>31</v>
      </c>
      <c r="AP9" s="427" t="s">
        <v>3</v>
      </c>
      <c r="AU9" s="172"/>
    </row>
    <row r="10" spans="1:49" s="9" customFormat="1" ht="14.25" customHeight="1" x14ac:dyDescent="0.2">
      <c r="A10" s="428"/>
      <c r="B10" s="429"/>
      <c r="C10" s="429"/>
      <c r="D10" s="428" t="s">
        <v>88</v>
      </c>
      <c r="E10" s="193" t="s">
        <v>4</v>
      </c>
      <c r="F10" s="193" t="s">
        <v>4</v>
      </c>
      <c r="G10" s="193" t="s">
        <v>4</v>
      </c>
      <c r="H10" s="193" t="s">
        <v>4</v>
      </c>
      <c r="I10" s="193" t="s">
        <v>4</v>
      </c>
      <c r="J10" s="193" t="s">
        <v>4</v>
      </c>
      <c r="K10" s="193" t="s">
        <v>4</v>
      </c>
      <c r="L10" s="193" t="s">
        <v>4</v>
      </c>
      <c r="M10" s="193" t="s">
        <v>4</v>
      </c>
      <c r="N10" s="193" t="s">
        <v>4</v>
      </c>
      <c r="O10" s="193" t="s">
        <v>4</v>
      </c>
      <c r="P10" s="193" t="s">
        <v>4</v>
      </c>
      <c r="Q10" s="193" t="s">
        <v>4</v>
      </c>
      <c r="R10" s="193" t="s">
        <v>4</v>
      </c>
      <c r="S10" s="193" t="s">
        <v>4</v>
      </c>
      <c r="T10" s="193" t="s">
        <v>4</v>
      </c>
      <c r="U10" s="193" t="s">
        <v>4</v>
      </c>
      <c r="V10" s="193" t="s">
        <v>4</v>
      </c>
      <c r="W10" s="193" t="s">
        <v>4</v>
      </c>
      <c r="X10" s="193" t="s">
        <v>4</v>
      </c>
      <c r="Y10" s="193" t="s">
        <v>4</v>
      </c>
      <c r="Z10" s="193" t="s">
        <v>4</v>
      </c>
      <c r="AA10" s="193" t="s">
        <v>4</v>
      </c>
      <c r="AB10" s="193" t="s">
        <v>4</v>
      </c>
      <c r="AC10" s="193" t="s">
        <v>4</v>
      </c>
      <c r="AD10" s="193" t="s">
        <v>4</v>
      </c>
      <c r="AE10" s="193" t="s">
        <v>4</v>
      </c>
      <c r="AF10" s="193" t="s">
        <v>4</v>
      </c>
      <c r="AG10" s="193" t="s">
        <v>4</v>
      </c>
      <c r="AH10" s="194" t="s">
        <v>4</v>
      </c>
      <c r="AI10" s="194" t="s">
        <v>4</v>
      </c>
      <c r="AJ10" s="194" t="s">
        <v>4</v>
      </c>
      <c r="AK10" s="194" t="s">
        <v>4</v>
      </c>
      <c r="AL10" s="194" t="s">
        <v>4</v>
      </c>
      <c r="AM10" s="194" t="s">
        <v>4</v>
      </c>
      <c r="AN10" s="194" t="s">
        <v>4</v>
      </c>
      <c r="AO10" s="194" t="s">
        <v>4</v>
      </c>
      <c r="AP10" s="427"/>
      <c r="AU10" s="172"/>
    </row>
    <row r="11" spans="1:49" s="6" customFormat="1" ht="39" customHeight="1" x14ac:dyDescent="0.2">
      <c r="A11" s="428"/>
      <c r="B11" s="429"/>
      <c r="C11" s="429"/>
      <c r="D11" s="428"/>
      <c r="E11" s="195">
        <v>99.89</v>
      </c>
      <c r="F11" s="195">
        <v>99.89</v>
      </c>
      <c r="G11" s="195">
        <v>99.89</v>
      </c>
      <c r="H11" s="195">
        <v>99.89</v>
      </c>
      <c r="I11" s="195">
        <v>99.89</v>
      </c>
      <c r="J11" s="195">
        <v>99.89</v>
      </c>
      <c r="K11" s="195">
        <v>99.89</v>
      </c>
      <c r="L11" s="195">
        <v>99.89</v>
      </c>
      <c r="M11" s="195">
        <v>99.89</v>
      </c>
      <c r="N11" s="195">
        <v>99.89</v>
      </c>
      <c r="O11" s="195">
        <v>99.89</v>
      </c>
      <c r="P11" s="195">
        <v>99.89</v>
      </c>
      <c r="Q11" s="195">
        <v>99.89</v>
      </c>
      <c r="R11" s="195">
        <v>99.89</v>
      </c>
      <c r="S11" s="195">
        <v>99.89</v>
      </c>
      <c r="T11" s="195">
        <v>99.89</v>
      </c>
      <c r="U11" s="195">
        <v>99.89</v>
      </c>
      <c r="V11" s="195">
        <v>99.89</v>
      </c>
      <c r="W11" s="195">
        <v>99.89</v>
      </c>
      <c r="X11" s="195">
        <v>99.89</v>
      </c>
      <c r="Y11" s="195">
        <v>68.760000000000005</v>
      </c>
      <c r="Z11" s="195">
        <v>68.760000000000005</v>
      </c>
      <c r="AA11" s="195">
        <v>68.760000000000005</v>
      </c>
      <c r="AB11" s="195">
        <v>68.760000000000005</v>
      </c>
      <c r="AC11" s="195">
        <v>68.760000000000005</v>
      </c>
      <c r="AD11" s="195">
        <v>68.760000000000005</v>
      </c>
      <c r="AE11" s="195">
        <v>99.89</v>
      </c>
      <c r="AF11" s="195">
        <v>99.89</v>
      </c>
      <c r="AG11" s="195">
        <v>99.89</v>
      </c>
      <c r="AH11" s="195">
        <v>99.89</v>
      </c>
      <c r="AI11" s="195">
        <v>99.89</v>
      </c>
      <c r="AJ11" s="195">
        <v>99.89</v>
      </c>
      <c r="AK11" s="195">
        <v>99.89</v>
      </c>
      <c r="AL11" s="195">
        <v>99.89</v>
      </c>
      <c r="AM11" s="195">
        <v>99.89</v>
      </c>
      <c r="AN11" s="195">
        <v>99.89</v>
      </c>
      <c r="AO11" s="195">
        <v>99.89</v>
      </c>
      <c r="AP11" s="154">
        <f>SUM(E11:AO11)</f>
        <v>3509.1500000000005</v>
      </c>
      <c r="AQ11" s="9"/>
      <c r="AT11" s="9" t="s">
        <v>5</v>
      </c>
      <c r="AU11" s="172"/>
    </row>
    <row r="12" spans="1:49" s="13" customFormat="1" ht="18" customHeight="1" x14ac:dyDescent="0.2">
      <c r="A12" s="158"/>
      <c r="B12" s="197"/>
      <c r="C12" s="198"/>
      <c r="D12" s="199">
        <v>46081</v>
      </c>
      <c r="E12" s="200"/>
      <c r="F12" s="200"/>
      <c r="G12" s="200"/>
      <c r="H12" s="200">
        <v>1</v>
      </c>
      <c r="I12" s="200"/>
      <c r="J12" s="200">
        <v>1</v>
      </c>
      <c r="K12" s="200">
        <v>1</v>
      </c>
      <c r="L12" s="200">
        <v>1</v>
      </c>
      <c r="M12" s="200">
        <v>1</v>
      </c>
      <c r="N12" s="200">
        <v>1</v>
      </c>
      <c r="O12" s="200"/>
      <c r="P12" s="200"/>
      <c r="Q12" s="200">
        <v>1</v>
      </c>
      <c r="R12" s="200">
        <v>1</v>
      </c>
      <c r="S12" s="200">
        <v>1</v>
      </c>
      <c r="T12" s="200">
        <v>1</v>
      </c>
      <c r="U12" s="200"/>
      <c r="V12" s="200"/>
      <c r="W12" s="200"/>
      <c r="X12" s="200">
        <v>1</v>
      </c>
      <c r="Y12" s="200"/>
      <c r="Z12" s="200"/>
      <c r="AA12" s="200"/>
      <c r="AB12" s="200"/>
      <c r="AC12" s="200"/>
      <c r="AD12" s="200"/>
      <c r="AE12" s="200">
        <v>1</v>
      </c>
      <c r="AF12" s="200">
        <v>1</v>
      </c>
      <c r="AG12" s="200">
        <v>1</v>
      </c>
      <c r="AH12" s="200">
        <v>1</v>
      </c>
      <c r="AI12" s="200"/>
      <c r="AJ12" s="200"/>
      <c r="AK12" s="200">
        <v>1</v>
      </c>
      <c r="AL12" s="200">
        <v>1</v>
      </c>
      <c r="AM12" s="200">
        <v>1</v>
      </c>
      <c r="AN12" s="200">
        <v>1</v>
      </c>
      <c r="AO12" s="200">
        <v>1</v>
      </c>
      <c r="AP12" s="150">
        <f t="shared" ref="AP12:AP22" si="20">AR12</f>
        <v>1598.2400000000005</v>
      </c>
      <c r="AQ12" s="12">
        <f t="shared" ref="AQ12:AQ43" si="21">SUM(E12:AO12)</f>
        <v>20</v>
      </c>
      <c r="AR12" s="180">
        <f>$E$11*E12+$F$11*F12+$G$11*G12+$H$11*H12+$I$11*I12+$J$11*J12+$L$11*L12+$M$11*M12+$N$11*N12+$O$11*O12+$P$11*P12+$Q$11*Q12+$S$11*S12+$T$11*T12+$U$11*U12+$V$11*V12+$W$11*W12+$X$11*X12+$Y$11*Y12+$Z$11*Z12+$AA$11*AA12+$AB$11*AB12+$AC$11*AC12+$AD$11*AD12+$AF$11*AF12+$AG$11*AG12+$AH$11*AH12+$AI$11*AI12+$AJ$11*AJ12+$AK$11*AK12+$AN$11*AN12+$AO$11*AO12+AM11*AM12</f>
        <v>1598.2400000000005</v>
      </c>
      <c r="AS12" s="179"/>
      <c r="AT12" s="14">
        <v>3</v>
      </c>
      <c r="AU12" s="176">
        <v>92</v>
      </c>
      <c r="AW12" s="231">
        <v>45190</v>
      </c>
    </row>
    <row r="13" spans="1:49" s="13" customFormat="1" ht="18" hidden="1" customHeight="1" x14ac:dyDescent="0.2">
      <c r="A13" s="158"/>
      <c r="B13" s="197"/>
      <c r="C13" s="198"/>
      <c r="D13" s="199">
        <v>45838</v>
      </c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00"/>
      <c r="AP13" s="150">
        <f t="shared" si="20"/>
        <v>0</v>
      </c>
      <c r="AQ13" s="12">
        <f t="shared" si="21"/>
        <v>0</v>
      </c>
      <c r="AR13" s="180">
        <f>$E$11*E13+$F$11*F13+$G$11*G13+$H$11*H13+$I$11*I13+$J$11*J13+$L$11*L13+$M$11*M13+$N$11*N13+$O$11*O13+$P$11*P13+$Q$11*Q13+$S$11*S13+$T$11*T13+$U$11*U13+$V$11*V13+$W$11*W13+$X$11*X13+$Y$11*Y13+$Z$11*Z13+$AA$11*AA13+$AB$11*AB13+$AC$11*AC13+$AD$11*AD13+$AF$11*AF13+$AG$11*AG13+$AH$11*AH13+$AI$11*AI13+$AJ$11*AJ13+$AK$11*AK13+$AN$11*AN13+$AO$11*AO13+AM11*AM13</f>
        <v>0</v>
      </c>
      <c r="AS13" s="179"/>
      <c r="AT13" s="14"/>
      <c r="AU13" s="176"/>
      <c r="AW13" s="231">
        <v>45175</v>
      </c>
    </row>
    <row r="14" spans="1:49" s="13" customFormat="1" ht="18" hidden="1" customHeight="1" x14ac:dyDescent="0.2">
      <c r="A14" s="158"/>
      <c r="B14" s="197"/>
      <c r="C14" s="198"/>
      <c r="D14" s="199">
        <v>45838</v>
      </c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/>
      <c r="AN14" s="200"/>
      <c r="AO14" s="200"/>
      <c r="AP14" s="150">
        <f t="shared" si="20"/>
        <v>0</v>
      </c>
      <c r="AQ14" s="12">
        <f t="shared" si="21"/>
        <v>0</v>
      </c>
      <c r="AR14" s="180">
        <f>$E$11*E14+$F$11*F14+$G$11*G14+$H$11*H14+$I$11*I14+$J$11*J14+$L$11*L14+$M$11*M14+$N$11*N14+$O$11*O14+$P$11*P14+$Q$11*Q14+$S$11*S14+$T$11*T14+$U$11*U14+$V$11*V14+$W$11*W14+$X$11*X14+$Y$11*Y14+$Z$11*Z14+$AA$11*AA14+$AB$11*AB14+$AC$11*AC14+$AD$11*AD14+$AF$11*AF14+$AG$11*AG14+$AH$11*AH14+$AI$11*AI14+$AJ$11*AJ14+$AK$11*AK14+$AN$11*AN14+$AO$11*AO14+AM11*AM14</f>
        <v>0</v>
      </c>
      <c r="AS14" s="179"/>
      <c r="AT14" s="14"/>
      <c r="AU14" s="176"/>
      <c r="AW14" s="231">
        <v>45189</v>
      </c>
    </row>
    <row r="15" spans="1:49" s="13" customFormat="1" ht="18" hidden="1" customHeight="1" x14ac:dyDescent="0.2">
      <c r="A15" s="158"/>
      <c r="B15" s="197"/>
      <c r="C15" s="198"/>
      <c r="D15" s="199">
        <v>45808</v>
      </c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200"/>
      <c r="AG15" s="200"/>
      <c r="AH15" s="200"/>
      <c r="AI15" s="200"/>
      <c r="AJ15" s="200"/>
      <c r="AK15" s="200"/>
      <c r="AL15" s="200"/>
      <c r="AM15" s="200"/>
      <c r="AN15" s="200"/>
      <c r="AO15" s="200"/>
      <c r="AP15" s="150">
        <f t="shared" si="20"/>
        <v>0</v>
      </c>
      <c r="AQ15" s="12">
        <f t="shared" si="21"/>
        <v>0</v>
      </c>
      <c r="AR15" s="180">
        <f>$E$11*E15+$F$11*F15+$G$11*G15+$H$11*H15+$I$11*I15+$J$11*J15+$L$11*L15+$M$11*M15+$N$11*N15+$O$11*O15+$P$11*P15+$Q$11*Q15+$S$11*S15+$T$11*T15+$U$11*U15+$V$11*V15+$W$11*W15+$X$11*X15+$Y$11*Y15+$Z$11*Z15+$AA$11*AA15+$AB$11*AB15+$AC$11*AC15+$AD$11*AD15+$AF$11*AF15+$AG$11*AG15+$AH$11*AH15+$AI$11*AI15+$AJ$11*AJ15+$AK$11*AK15+$AN$11*AN15+$AO$11*AO15+AM15*AM11</f>
        <v>0</v>
      </c>
      <c r="AS15" s="179"/>
      <c r="AT15" s="14"/>
      <c r="AU15" s="176"/>
      <c r="AW15" s="231">
        <v>45197</v>
      </c>
    </row>
    <row r="16" spans="1:49" s="13" customFormat="1" ht="18" hidden="1" customHeight="1" x14ac:dyDescent="0.2">
      <c r="A16" s="158"/>
      <c r="B16" s="197"/>
      <c r="C16" s="198"/>
      <c r="D16" s="199">
        <v>45838</v>
      </c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200"/>
      <c r="AJ16" s="200"/>
      <c r="AK16" s="200"/>
      <c r="AL16" s="200"/>
      <c r="AM16" s="200"/>
      <c r="AN16" s="200"/>
      <c r="AO16" s="200"/>
      <c r="AP16" s="150">
        <f t="shared" si="20"/>
        <v>0</v>
      </c>
      <c r="AQ16" s="12">
        <f t="shared" si="21"/>
        <v>0</v>
      </c>
      <c r="AR16" s="180">
        <f>$E$11*E16+$F$11*F16+$G$11*G16+$H$11*H16+$I$11*I16+$J$11*J16+$L$11*L16+$M$11*M16+$N$11*N16+$O$11*O16+$P$11*P16+$Q$11*Q16+$S$11*S16+$T$11*T16+$U$11*U16+$V$11*V16+$W$11*W16+$X$11*X16+$Y$11*Y16+$Z$11*Z16+$AA$11*AA16+$AB$11*AB16+$AC$11*AC16+$AD$11*AD16+$AF$11*AF16+$AG$11*AG16+$AH$11*AH16+$AI$11*AI16+$AJ$11*AJ16+$AK$11*AK16+$AN$11*AN16+$AO$11*AO16+AM11*AM16</f>
        <v>0</v>
      </c>
      <c r="AS16" s="179"/>
      <c r="AT16" s="14"/>
      <c r="AU16" s="176"/>
      <c r="AW16" s="231">
        <v>45176</v>
      </c>
    </row>
    <row r="17" spans="1:49" s="13" customFormat="1" ht="18" hidden="1" customHeight="1" x14ac:dyDescent="0.2">
      <c r="A17" s="158"/>
      <c r="B17" s="197"/>
      <c r="C17" s="198"/>
      <c r="D17" s="199">
        <v>45838</v>
      </c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200"/>
      <c r="AN17" s="200"/>
      <c r="AO17" s="200"/>
      <c r="AP17" s="150">
        <f t="shared" si="20"/>
        <v>0</v>
      </c>
      <c r="AQ17" s="12">
        <f t="shared" si="21"/>
        <v>0</v>
      </c>
      <c r="AR17" s="180">
        <f>$E$11*E17+$F$11*F17+$G$11*G17+$H$11*H17+$I$11*I17+$J$11*J17+$L$11*L17+$M$11*M17+$N$11*N17+$O$11*O17+$P$11*P17+$Q$11*Q17+$S$11*S17+$T$11*T17+$U$11*U17+$V$11*V17+$W$11*W17+$X$11*X17+$Y$11*Y17+$Z$11*Z17+$AA$11*AA17+$AB$11*AB17+$AC$11*AC17+$AD$11*AD17+$AF$11*AF17+$AG$11*AG17+$AH$11*AH17+$AI$11*AI17+$AJ$11*AJ17+$AK$11*AK17+$AN$11*AN17+$AO$11*AO17+AM11*AM17</f>
        <v>0</v>
      </c>
      <c r="AS17" s="179"/>
      <c r="AT17" s="14"/>
      <c r="AU17" s="176"/>
      <c r="AW17" s="231">
        <v>45180</v>
      </c>
    </row>
    <row r="18" spans="1:49" s="13" customFormat="1" ht="18" hidden="1" customHeight="1" x14ac:dyDescent="0.2">
      <c r="A18" s="158"/>
      <c r="B18" s="197"/>
      <c r="C18" s="198"/>
      <c r="D18" s="199">
        <v>45838</v>
      </c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200"/>
      <c r="AG18" s="200"/>
      <c r="AH18" s="200"/>
      <c r="AI18" s="200"/>
      <c r="AJ18" s="200"/>
      <c r="AK18" s="200"/>
      <c r="AL18" s="200"/>
      <c r="AM18" s="200"/>
      <c r="AN18" s="200"/>
      <c r="AO18" s="200"/>
      <c r="AP18" s="150">
        <f t="shared" si="20"/>
        <v>0</v>
      </c>
      <c r="AQ18" s="12">
        <f t="shared" si="21"/>
        <v>0</v>
      </c>
      <c r="AR18" s="180">
        <f>$E$11*E18+$F$11*F18+$G$11*G18+$H$11*H18+$I$11*I18+$J$11*J18+$L$11*L18+$M$11*M18+$N$11*N18+$O$11*O18+$P$11*P18+$Q$11*Q18+$S$11*S18+$T$11*T18+$U$11*U18+$V$11*V18+$W$11*W18+$X$11*X18+$Y$11*Y18+$Z$11*Z18+$AA$11*AA18+$AB$11*AB18+$AC$11*AC18+$AD$11*AD18+$AF$11*AF18+$AG$11*AG18+$AH$11*AH18+$AI$11*AI18+$AJ$11*AJ18+$AK$11*AK18+$AN$11*AN18+$AO$11*AO18+AM11*AM18</f>
        <v>0</v>
      </c>
      <c r="AS18" s="179"/>
      <c r="AT18" s="14"/>
      <c r="AU18" s="176"/>
      <c r="AW18" s="231">
        <v>45175</v>
      </c>
    </row>
    <row r="19" spans="1:49" s="13" customFormat="1" ht="18" hidden="1" customHeight="1" x14ac:dyDescent="0.2">
      <c r="A19" s="158"/>
      <c r="B19" s="197"/>
      <c r="C19" s="198"/>
      <c r="D19" s="198">
        <v>45838</v>
      </c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150">
        <f t="shared" si="20"/>
        <v>0</v>
      </c>
      <c r="AQ19" s="12">
        <f t="shared" si="21"/>
        <v>0</v>
      </c>
      <c r="AR19" s="180">
        <f>$E$11*E19+$F$11*F19+$G$11*G19+$H$11*H19+$I$11*I19+$J$11*J19+$L$11*L19+$M$11*M19+$N$11*N19+$O$11*O19+$P$11*P19+$Q$11*Q19+$S$11*S19+$T$11*T19+$U$11*U19+$V$11*V19+$W$11*W19+$X$11*X19+$Y$11*Y19+$Z$11*Z19+$AA$11*AA19+$AB$11*AB19+$AC$11*AC19+$AD$11*AD19+$AF$11*AF19+$AG$11*AG19+$AH$11*AH19+$AI$11*AI19+$AJ$11*AJ19+$AK$11*AK19+$AN$11*AN19+$AO$11*AO19+AM11*AM19</f>
        <v>0</v>
      </c>
      <c r="AS19" s="179"/>
      <c r="AT19" s="14"/>
      <c r="AU19" s="176"/>
    </row>
    <row r="20" spans="1:49" s="13" customFormat="1" ht="18" hidden="1" customHeight="1" x14ac:dyDescent="0.2">
      <c r="A20" s="158"/>
      <c r="B20" s="197"/>
      <c r="C20" s="198"/>
      <c r="D20" s="199">
        <v>45838</v>
      </c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150">
        <f t="shared" si="20"/>
        <v>0</v>
      </c>
      <c r="AQ20" s="12">
        <f t="shared" si="21"/>
        <v>0</v>
      </c>
      <c r="AR20" s="180">
        <f>$E$11*E20+$F$11*F20+$G$11*G20+$H$11*H20+$I$11*I20+$J$11*J20+$L$11*L20+$M$11*M20+$N$11*N20+$O$11*O20+$P$11*P20+$Q$11*Q20+$S$11*S20+$T$11*T20+$U$11*U20+$V$11*V20+$W$11*W20+$X$11*X20+$Y$11*Y20+$Z$11*Z20+$AA$11*AA20+$AB$11*AB20+$AC$11*AC20+$AD$11*AD20+$AF$11*AF20+$AG$11*AG20+$AH$11*AH20+$AI$11*AI20+$AJ$11*AJ20+$AK$11*AK20+$AN$11*AN20+$AO$11*AO20+AM11*AM20</f>
        <v>0</v>
      </c>
      <c r="AS20" s="179"/>
      <c r="AT20" s="14"/>
      <c r="AU20" s="176"/>
    </row>
    <row r="21" spans="1:49" s="13" customFormat="1" ht="18" hidden="1" customHeight="1" x14ac:dyDescent="0.2">
      <c r="A21" s="158"/>
      <c r="B21" s="197"/>
      <c r="C21" s="198"/>
      <c r="D21" s="199">
        <v>45838</v>
      </c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200"/>
      <c r="AN21" s="200"/>
      <c r="AO21" s="200"/>
      <c r="AP21" s="150">
        <f t="shared" si="20"/>
        <v>0</v>
      </c>
      <c r="AQ21" s="12">
        <f t="shared" si="21"/>
        <v>0</v>
      </c>
      <c r="AR21" s="180">
        <f>$E$11*E21+$F$11*F21+$G$11*G21+$H$11*H21+$I$11*I21+$J$11*J21+$L$11*L21+$M$11*M21+$N$11*N21+$O$11*O21+$P$11*P21+$Q$11*Q21+$S$11*S21+$T$11*T21+$U$11*U21+$V$11*V21+$W$11*W21+$X$11*X21+$Y$11*Y21+$Z$11*Z21+$AA$11*AA21+$AB$11*AB21+$AC$11*AC21+$AD$11*AD21+$AF$11*AF21+$AG$11*AG21+$AH$11*AH21+$AI$11*AI21+$AJ$11*AJ21+$AK$11*AK21+$AN$11*AN21+$AO$11*AO21+AM11*AM21</f>
        <v>0</v>
      </c>
      <c r="AS21" s="179"/>
      <c r="AT21" s="14"/>
      <c r="AU21" s="176"/>
      <c r="AW21" s="231">
        <v>45175</v>
      </c>
    </row>
    <row r="22" spans="1:49" s="13" customFormat="1" ht="18" hidden="1" customHeight="1" x14ac:dyDescent="0.2">
      <c r="A22" s="158"/>
      <c r="B22" s="197"/>
      <c r="C22" s="198"/>
      <c r="D22" s="199">
        <v>45838</v>
      </c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00"/>
      <c r="AP22" s="150">
        <f t="shared" si="20"/>
        <v>0</v>
      </c>
      <c r="AQ22" s="12">
        <f t="shared" si="21"/>
        <v>0</v>
      </c>
      <c r="AR22" s="180">
        <f>$E$11*E22+$F$11*F22+$G$11*G22+$H$11*H22+$I$11*I22+$J$11*J22+$L$11*L22+$M$11*M22+$N$11*N22+$O$11*O22+$P$11*P22+$Q$11*Q22+$S$11*S22+$T$11*T22+$U$11*U22+$V$11*V22+$W$11*W22+$X$11*X22+$Y$11*Y22+$Z$11*Z22+$AA$11*AA22+$AB$11*AB22+$AC$11*AC22+$AD$11*AD22+$AF$11*AF22+$AG$11*AG22+$AH$11*AH22+$AI$11*AI22+$AJ$11*AJ22+$AK$11*AK22+$AN$11*AN22+$AO$11*AO22+AM11*AM22</f>
        <v>0</v>
      </c>
      <c r="AS22" s="179"/>
      <c r="AT22" s="14"/>
      <c r="AU22" s="176"/>
      <c r="AW22" s="231">
        <v>45175</v>
      </c>
    </row>
    <row r="23" spans="1:49" s="13" customFormat="1" ht="18" hidden="1" customHeight="1" x14ac:dyDescent="0.2">
      <c r="A23" s="158"/>
      <c r="B23" s="197"/>
      <c r="C23" s="198"/>
      <c r="D23" s="199">
        <v>45838</v>
      </c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200"/>
      <c r="AN23" s="200"/>
      <c r="AO23" s="200"/>
      <c r="AP23" s="150">
        <f t="shared" ref="AP23:AP43" si="22">AR23</f>
        <v>0</v>
      </c>
      <c r="AQ23" s="12">
        <f t="shared" si="21"/>
        <v>0</v>
      </c>
      <c r="AR23" s="180">
        <f>$E$11*E23+$F$11*F23+$G$11*G23+$H$11*H23+$I$11*I23+$J$11*J23+$L$11*L23+$M$11*M23+$N$11*N23+$O$11*O23+$P$11*P23+$Q$11*Q23+$S$11*S23+$T$11*T23+$U$11*U23+$V$11*V23+$W$11*W23+$X$11*X23+$Y$11*Y23+$Z$11*Z23+$AA$11*AA23+$AB$11*AB23+$AC$11*AC23+$AD$11*AD23+$AF$11*AF23+$AG$11*AG23+$AH$11*AH23+$AI$11*AI23+$AJ$11*AJ23+$AK$11*AK23+$AN$11*AN23+$AO$11*AO23+AM23*AM11</f>
        <v>0</v>
      </c>
      <c r="AS23" s="179"/>
      <c r="AT23" s="14"/>
      <c r="AU23" s="176"/>
      <c r="AW23" s="231">
        <v>45184</v>
      </c>
    </row>
    <row r="24" spans="1:49" s="13" customFormat="1" ht="18" hidden="1" customHeight="1" x14ac:dyDescent="0.2">
      <c r="A24" s="158"/>
      <c r="B24" s="197"/>
      <c r="C24" s="198"/>
      <c r="D24" s="199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150">
        <f t="shared" si="22"/>
        <v>0</v>
      </c>
      <c r="AQ24" s="12">
        <f t="shared" si="21"/>
        <v>0</v>
      </c>
      <c r="AR24" s="180">
        <f>$E$11*E24+$F$11*F24+$G$11*G24+$H$11*H24+$I$11*I24+$J$11*J24+$L$11*L24+$M$11*M24+$N$11*N24+$O$11*O24+$P$11*P24+$Q$11*Q24+$S$11*S24+$T$11*T24+$U$11*U24+$V$11*V24+$W$11*W24+$X$11*X24+$Y$11*Y24+$Z$11*Z24+$AA$11*AA24+$AB$11*AB24+$AC$11*AC24+$AD$11*AD24+$AF$11*AF24+$AG$11*AG24+$AH$11*AH24+$AI$11*AI24+$AJ$11*AJ24+$AK$11*AK24+$AN$11*AN24+$AO$11*AO24+AM11*AM24</f>
        <v>0</v>
      </c>
      <c r="AS24" s="179"/>
      <c r="AT24" s="14"/>
      <c r="AU24" s="176"/>
    </row>
    <row r="25" spans="1:49" s="13" customFormat="1" ht="18" hidden="1" customHeight="1" x14ac:dyDescent="0.2">
      <c r="A25" s="158"/>
      <c r="B25" s="197"/>
      <c r="C25" s="198"/>
      <c r="D25" s="199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200"/>
      <c r="AM25" s="200"/>
      <c r="AN25" s="200"/>
      <c r="AO25" s="200"/>
      <c r="AP25" s="150">
        <f t="shared" si="22"/>
        <v>0</v>
      </c>
      <c r="AQ25" s="12">
        <f t="shared" si="21"/>
        <v>0</v>
      </c>
      <c r="AR25" s="180">
        <f>$E$11*E25+$F$11*F25+$G$11*G25+$H$11*H25+$I$11*I25+$J$11*J25+$L$11*L25+$M$11*M25+$N$11*N25+$O$11*O25+$P$11*P25+$Q$11*Q25+$S$11*S25+$T$11*T25+$U$11*U25+$V$11*V25+$W$11*W25+$X$11*X25+$Y$11*Y25+$Z$11*Z25+$AA$11*AA25+$AB$11*AB25+$AC$11*AC25+$AD$11*AD25+$AF$11*AF25+$AG$11*AG25+$AH$11*AH25+$AI$11*AI25+$AJ$11*AJ25+$AK$11*AK25+$AN$11*AN25+$AO$11*AO25+AM11*AM25</f>
        <v>0</v>
      </c>
      <c r="AS25" s="179"/>
      <c r="AT25" s="14"/>
      <c r="AU25" s="176"/>
      <c r="AW25" s="231">
        <v>45200</v>
      </c>
    </row>
    <row r="26" spans="1:49" s="13" customFormat="1" ht="18" hidden="1" customHeight="1" x14ac:dyDescent="0.2">
      <c r="A26" s="158"/>
      <c r="B26" s="197"/>
      <c r="C26" s="198"/>
      <c r="D26" s="199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00"/>
      <c r="AP26" s="150">
        <f t="shared" si="22"/>
        <v>0</v>
      </c>
      <c r="AQ26" s="12">
        <f t="shared" si="21"/>
        <v>0</v>
      </c>
      <c r="AR26" s="180">
        <f>$E$11*E26+$F$11*F26+$G$11*G26+$H$11*H26+$I$11*I26+$J$11*J26+$L$11*L26+$M$11*M26+$N$11*N26+$O$11*O26+$P$11*P26+$Q$11*Q26+$S$11*S26+$T$11*T26+$U$11*U26+$V$11*V26+$W$11*W26+$X$11*X26+$Y$11*Y26+$Z$11*Z26+$AA$11*AA26+$AB$11*AB26+$AC$11*AC26+$AD$11*AD26+$AF$11*AF26+$AG$11*AG26+$AH$11*AH26+$AI$11*AI26+$AJ$11*AJ26+$AK$11*AK26+$AN$11*AN26+$AO$11*AO26+AM11*AM26</f>
        <v>0</v>
      </c>
      <c r="AS26" s="179"/>
      <c r="AT26" s="14"/>
      <c r="AU26" s="176"/>
      <c r="AW26" s="231">
        <v>45182</v>
      </c>
    </row>
    <row r="27" spans="1:49" s="13" customFormat="1" ht="18" hidden="1" customHeight="1" x14ac:dyDescent="0.2">
      <c r="A27" s="158"/>
      <c r="B27" s="197"/>
      <c r="C27" s="198"/>
      <c r="D27" s="199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200"/>
      <c r="AN27" s="200"/>
      <c r="AO27" s="200"/>
      <c r="AP27" s="150">
        <f t="shared" si="22"/>
        <v>0</v>
      </c>
      <c r="AQ27" s="12">
        <f t="shared" si="21"/>
        <v>0</v>
      </c>
      <c r="AR27" s="180">
        <f>$E$11*E27+$F$11*F27+$G$11*G27+$H$11*H27+$I$11*I27+$J$11*J27+$L$11*L27+$M$11*M27+$N$11*N27+$O$11*O27+$P$11*P27+$Q$11*Q27+$S$11*S27+$T$11*T27+$U$11*U27+$V$11*V27+$W$11*W27+$X$11*X27+$Y$11*Y27+$Z$11*Z27+$AA$11*AA27+$AB$11*AB27+$AC$11*AC27+$AD$11*AD27+$AF$11*AF27+$AG$11*AG27+$AH$11*AH27+$AI$11*AI27+$AJ$11*AJ27+$AK$11*AK27+$AN$11*AN27+$AO$11*AO27+AM11*AM27</f>
        <v>0</v>
      </c>
      <c r="AS27" s="179"/>
      <c r="AT27" s="14"/>
      <c r="AU27" s="176"/>
    </row>
    <row r="28" spans="1:49" s="13" customFormat="1" ht="18" hidden="1" customHeight="1" x14ac:dyDescent="0.2">
      <c r="A28" s="158"/>
      <c r="B28" s="197"/>
      <c r="C28" s="198"/>
      <c r="D28" s="199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0"/>
      <c r="AP28" s="150">
        <f t="shared" si="22"/>
        <v>0</v>
      </c>
      <c r="AQ28" s="12">
        <f t="shared" si="21"/>
        <v>0</v>
      </c>
      <c r="AR28" s="180">
        <f>$E$11*E28+$F$11*F28+$G$11*G28+$H$11*H28+$I$11*I28+$J$11*J28+$L$11*L28+$M$11*M28+$N$11*N28+$O$11*O28+$P$11*P28+$Q$11*Q28+$S$11*S28+$T$11*T28+$U$11*U28+$V$11*V28+$W$11*W28+$X$11*X28+$Y$11*Y28+$Z$11*Z28+$AA$11*AA28+$AB$11*AB28+$AC$11*AC28+$AD$11*AD28+$AF$11*AF28+$AG$11*AG28+$AH$11*AH28+$AI$11*AI28+$AJ$11*AJ28+$AK$11*AK28+$AN$11*AN28+$AO$11*AO28+AM28*AM11</f>
        <v>0</v>
      </c>
      <c r="AS28" s="179"/>
      <c r="AT28" s="14"/>
      <c r="AU28" s="176"/>
    </row>
    <row r="29" spans="1:49" s="13" customFormat="1" ht="18" hidden="1" customHeight="1" x14ac:dyDescent="0.2">
      <c r="A29" s="158"/>
      <c r="B29" s="197"/>
      <c r="C29" s="198"/>
      <c r="D29" s="199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00"/>
      <c r="AP29" s="150">
        <f t="shared" si="22"/>
        <v>0</v>
      </c>
      <c r="AQ29" s="12">
        <f t="shared" si="21"/>
        <v>0</v>
      </c>
      <c r="AR29" s="180">
        <f>$E$11*E29+$F$11*F29+$G$11*G29+$H$11*H29+$I$11*I29+$J$11*J29+$L$11*L29+$M$11*M29+$N$11*N29+$O$11*O29+$P$11*P29+$Q$11*Q29+$S$11*S29+$T$11*T29+$U$11*U29+$V$11*V29+$W$11*W29+$X$11*X29+$Y$11*Y29+$Z$11*Z29+$AA$11*AA29+$AB$11*AB29+$AC$11*AC29+$AD$11*AD29+$AF$11*AF29+$AG$11*AG29+$AH$11*AH29+$AI$11*AI29+$AJ$11*AJ29+$AK$11*AK29+$AN$11*AN29+$AO$11*AO29</f>
        <v>0</v>
      </c>
      <c r="AS29" s="179"/>
      <c r="AT29" s="14"/>
      <c r="AU29" s="176"/>
    </row>
    <row r="30" spans="1:49" s="13" customFormat="1" ht="18" hidden="1" customHeight="1" x14ac:dyDescent="0.2">
      <c r="A30" s="158"/>
      <c r="B30" s="197"/>
      <c r="C30" s="198"/>
      <c r="D30" s="199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0"/>
      <c r="AP30" s="150">
        <f t="shared" si="22"/>
        <v>0</v>
      </c>
      <c r="AQ30" s="12">
        <f t="shared" si="21"/>
        <v>0</v>
      </c>
      <c r="AR30" s="180">
        <f>$E$11*E30+$F$11*F30+$G$11*G30+$H$11*H30+$I$11*I30+$J$11*J30+$L$11*L30+$M$11*M30+$N$11*N30+$O$11*O30+$P$11*P30+$Q$11*Q30+$S$11*S30+$T$11*T30+$U$11*U30+$V$11*V30+$W$11*W30+$X$11*X30+$Y$11*Y30+$Z$11*Z30+$AA$11*AA30+$AB$11*AB30+$AC$11*AC30+$AD$11*AD30+$AF$11*AF30+$AG$11*AG30+$AH$11*AH30+$AI$11*AI30+$AJ$11*AJ30+$AK$11*AK30+$AN$11*AN30+$AO$11*AO30+AM30*AM11</f>
        <v>0</v>
      </c>
      <c r="AS30" s="179"/>
      <c r="AT30" s="14"/>
      <c r="AU30" s="176"/>
    </row>
    <row r="31" spans="1:49" s="13" customFormat="1" ht="18" hidden="1" customHeight="1" x14ac:dyDescent="0.2">
      <c r="A31" s="158"/>
      <c r="B31" s="197"/>
      <c r="C31" s="198"/>
      <c r="D31" s="199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200"/>
      <c r="AO31" s="200"/>
      <c r="AP31" s="150">
        <f t="shared" si="22"/>
        <v>0</v>
      </c>
      <c r="AQ31" s="12">
        <f t="shared" si="21"/>
        <v>0</v>
      </c>
      <c r="AR31" s="180">
        <f>$E$11*E31+$F$11*F31+$G$11*G31+$H$11*H31+$I$11*I31+$J$11*J31+$L$11*L31+$M$11*M31+$N$11*N31+$O$11*O31+$P$11*P31+$Q$11*Q31+$S$11*S31+$T$11*T31+$U$11*U31+$V$11*V31+$W$11*W31+$X$11*X31+$Y$11*Y31+$Z$11*Z31+$AA$11*AA31+$AB$11*AB31+$AC$11*AC31+$AD$11*AD31+$AF$11*AF31+$AG$11*AG31+$AH$11*AH31+$AI$11*AI31+$AJ$11*AJ31+$AK$11*AK31+$AN$11*AN31+$AO$11*AO31+AM31*AM11</f>
        <v>0</v>
      </c>
      <c r="AS31" s="179"/>
      <c r="AT31" s="14"/>
      <c r="AU31" s="176"/>
    </row>
    <row r="32" spans="1:49" s="13" customFormat="1" ht="18" hidden="1" customHeight="1" x14ac:dyDescent="0.2">
      <c r="A32" s="158"/>
      <c r="B32" s="197"/>
      <c r="C32" s="198"/>
      <c r="D32" s="199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150">
        <f t="shared" si="22"/>
        <v>0</v>
      </c>
      <c r="AQ32" s="12">
        <f t="shared" si="21"/>
        <v>0</v>
      </c>
      <c r="AR32" s="180">
        <f>$E$11*E32+$F$11*F32+$G$11*G32+$H$11*H32+$I$11*I32+$J$11*J32+$L$11*L32+$M$11*M32+$N$11*N32+$O$11*O32+$P$11*P32+$Q$11*Q32+$S$11*S32+$T$11*T32+$U$11*U32+$V$11*V32+$W$11*W32+$X$11*X32+$Y$11*Y32+$Z$11*Z32+$AA$11*AA32+$AB$11*AB32+$AC$11*AC32+$AD$11*AD32+$AF$11*AF32+$AG$11*AG32+$AH$11*AH32+$AI$11*AI32+$AJ$11*AJ32+$AK$11*AK32+$AN$11*AN32+$AO$11*AO32+AM11*AM32</f>
        <v>0</v>
      </c>
      <c r="AS32" s="179"/>
      <c r="AT32" s="14"/>
      <c r="AU32" s="176"/>
    </row>
    <row r="33" spans="1:47" s="13" customFormat="1" ht="18" hidden="1" customHeight="1" x14ac:dyDescent="0.2">
      <c r="A33" s="158"/>
      <c r="B33" s="197"/>
      <c r="C33" s="198"/>
      <c r="D33" s="199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00"/>
      <c r="AP33" s="150">
        <f t="shared" si="22"/>
        <v>0</v>
      </c>
      <c r="AQ33" s="12">
        <f t="shared" si="21"/>
        <v>0</v>
      </c>
      <c r="AR33" s="180">
        <f>$E$11*E33+$F$11*F33+$G$11*G33+$H$11*H33+$I$11*I33+$J$11*J33+$L$11*L33+$M$11*M33+$N$11*N33+$O$11*O33+$P$11*P33+$Q$11*Q33+$S$11*S33+$T$11*T33+$U$11*U33+$V$11*V33+$W$11*W33+$X$11*X33+$Y$11*Y33+$Z$11*Z33+$AA$11*AA33+$AB$11*AB33+$AC$11*AC33+$AD$11*AD33+$AF$11*AF33+$AG$11*AG33+$AH$11*AH33+$AI$11*AI33+$AJ$11*AJ33+$AK$11*AK33+$AN$11*AN33+$AO$11*AO33+AM11*AM33</f>
        <v>0</v>
      </c>
      <c r="AS33" s="179"/>
      <c r="AT33" s="14"/>
      <c r="AU33" s="176"/>
    </row>
    <row r="34" spans="1:47" s="13" customFormat="1" ht="18" customHeight="1" outlineLevel="1" x14ac:dyDescent="0.2">
      <c r="A34" s="158"/>
      <c r="B34" s="197"/>
      <c r="C34" s="198"/>
      <c r="D34" s="199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189"/>
      <c r="AH34" s="189"/>
      <c r="AI34" s="189"/>
      <c r="AJ34" s="189"/>
      <c r="AK34" s="189"/>
      <c r="AL34" s="189"/>
      <c r="AM34" s="189"/>
      <c r="AN34" s="189"/>
      <c r="AO34" s="189"/>
      <c r="AP34" s="150">
        <f t="shared" si="22"/>
        <v>0</v>
      </c>
      <c r="AQ34" s="12">
        <f t="shared" si="21"/>
        <v>0</v>
      </c>
      <c r="AR34" s="180">
        <f>$E$11*E34+$F$11*F34+$G$11*G34+$H$11*H34+$I$11*I34+$J$11*J34+$L$11*L34+$M$11*M34+$N$11*N34+$O$11*O34+$P$11*P34+$Q$11*Q34+$S$11*S34+$T$11*T34+$U$11*U34+$V$11*V34+$W$11*W34+$X$11*X34+$Y$11*Y34+$Z$11*Z34+$AA$11*AA34+$AB$11*AB34+$AC$11*AC34+$AD$11*AD34+$AF$11*AF34+$AG$11*AG34+$AH$11*AH34+$AI$11*AI34+$AJ$11*AJ34+$AK$11*AK34+$AN$11*AN34+$AO$11*AO34+AM11*AM34</f>
        <v>0</v>
      </c>
      <c r="AS34" s="179"/>
      <c r="AT34" s="14"/>
      <c r="AU34" s="176"/>
    </row>
    <row r="35" spans="1:47" s="13" customFormat="1" ht="18" customHeight="1" outlineLevel="1" x14ac:dyDescent="0.2">
      <c r="A35" s="158"/>
      <c r="B35" s="197"/>
      <c r="C35" s="198"/>
      <c r="D35" s="199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189"/>
      <c r="AH35" s="189"/>
      <c r="AI35" s="189"/>
      <c r="AJ35" s="189"/>
      <c r="AK35" s="189"/>
      <c r="AL35" s="189"/>
      <c r="AM35" s="189"/>
      <c r="AN35" s="189"/>
      <c r="AO35" s="189"/>
      <c r="AP35" s="150">
        <f t="shared" si="22"/>
        <v>0</v>
      </c>
      <c r="AQ35" s="12">
        <f t="shared" si="21"/>
        <v>0</v>
      </c>
      <c r="AR35" s="180">
        <f>$E$11*E35+$F$11*F35+$G$11*G35+$H$11*H35+$I$11*I35+$J$11*J35+$L$11*L35+$M$11*M35+$N$11*N35+$O$11*O35+$P$11*P35+$Q$11*Q35+$S$11*S35+$T$11*T35+$U$11*U35+$V$11*V35+$W$11*W35+$X$11*X35+$Y$11*Y35+$Z$11*Z35+$AA$11*AA35+$AB$11*AB35+$AC$11*AC35+$AD$11*AD35+$AF$11*AF35+$AG$11*AG35+$AH$11*AH35+$AI$11*AI35+$AJ$11*AJ35+$AK$11*AK35+$AN$11*AN35+$AO$11*AO35+AM11*AM35</f>
        <v>0</v>
      </c>
      <c r="AS35" s="179"/>
      <c r="AT35" s="14"/>
      <c r="AU35" s="176"/>
    </row>
    <row r="36" spans="1:47" s="13" customFormat="1" ht="18" customHeight="1" outlineLevel="1" x14ac:dyDescent="0.2">
      <c r="A36" s="158"/>
      <c r="B36" s="197"/>
      <c r="C36" s="198"/>
      <c r="D36" s="199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189"/>
      <c r="AH36" s="189"/>
      <c r="AI36" s="189"/>
      <c r="AJ36" s="189"/>
      <c r="AK36" s="189"/>
      <c r="AL36" s="189"/>
      <c r="AM36" s="189"/>
      <c r="AN36" s="189"/>
      <c r="AO36" s="189"/>
      <c r="AP36" s="150">
        <f t="shared" si="22"/>
        <v>0</v>
      </c>
      <c r="AQ36" s="12">
        <f t="shared" si="21"/>
        <v>0</v>
      </c>
      <c r="AR36" s="180">
        <f>$E$11*E36+$F$11*F36+$G$11*G36+$H$11*H36+$I$11*I36+$J$11*J36+$L$11*L36+$M$11*M36+$N$11*N36+$O$11*O36+$P$11*P36+$Q$11*Q36+$S$11*S36+$T$11*T36+$U$11*U36+$V$11*V36+$W$11*W36+$X$11*X36+$Y$11*Y36+$Z$11*Z36+$AA$11*AA36+$AB$11*AB36+$AC$11*AC36+$AD$11*AD36+$AF$11*AF36+$AG$11*AG36+$AH$11*AH36+$AI$11*AI36+$AJ$11*AJ36+$AK$11*AK36+$AN$11*AN36+$AO$11*AO36+AM11*AM36</f>
        <v>0</v>
      </c>
      <c r="AS36" s="179"/>
      <c r="AT36" s="14"/>
      <c r="AU36" s="176"/>
    </row>
    <row r="37" spans="1:47" s="13" customFormat="1" ht="18" customHeight="1" outlineLevel="1" x14ac:dyDescent="0.2">
      <c r="A37" s="158"/>
      <c r="B37" s="197"/>
      <c r="C37" s="198"/>
      <c r="D37" s="199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189"/>
      <c r="AH37" s="189"/>
      <c r="AI37" s="189"/>
      <c r="AJ37" s="189"/>
      <c r="AK37" s="189"/>
      <c r="AL37" s="189"/>
      <c r="AM37" s="189"/>
      <c r="AN37" s="189"/>
      <c r="AO37" s="189"/>
      <c r="AP37" s="150">
        <f t="shared" si="22"/>
        <v>0</v>
      </c>
      <c r="AQ37" s="12">
        <f t="shared" si="21"/>
        <v>0</v>
      </c>
      <c r="AR37" s="180">
        <f>$E$11*E37+$F$11*F37+$G$11*G37+$H$11*H37+$I$11*I37+$J$11*J37+$L$11*L37+$M$11*M37+$N$11*N37+$O$11*O37+$P$11*P37+$Q$11*Q37+$S$11*S37+$T$11*T37+$U$11*U37+$V$11*V37+$W$11*W37+$X$11*X37+$Y$11*Y37+$Z$11*Z37+$AA$11*AA37+$AB$11*AB37+$AC$11*AC37+$AD$11*AD37+$AF$11*AF37+$AG$11*AG37+$AH$11*AH37+$AI$11*AI37+$AJ$11*AJ37+$AK$11*AK37+$AN$11*AN37+$AO$11*AO37+AM11*AM37</f>
        <v>0</v>
      </c>
      <c r="AS37" s="179"/>
      <c r="AT37" s="14"/>
      <c r="AU37" s="176"/>
    </row>
    <row r="38" spans="1:47" s="13" customFormat="1" ht="18" customHeight="1" outlineLevel="1" x14ac:dyDescent="0.2">
      <c r="A38" s="158"/>
      <c r="B38" s="197"/>
      <c r="C38" s="198"/>
      <c r="D38" s="199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189"/>
      <c r="AH38" s="189"/>
      <c r="AI38" s="189"/>
      <c r="AJ38" s="189"/>
      <c r="AK38" s="189"/>
      <c r="AL38" s="189"/>
      <c r="AM38" s="189"/>
      <c r="AN38" s="189"/>
      <c r="AO38" s="189"/>
      <c r="AP38" s="150">
        <f t="shared" si="22"/>
        <v>0</v>
      </c>
      <c r="AQ38" s="12">
        <f t="shared" si="21"/>
        <v>0</v>
      </c>
      <c r="AR38" s="180">
        <f t="shared" ref="AR38:AR43" si="23">$E$11*E38+$F$11*F38+$G$11*G38+$H$11*H38+$I$11*I38+$J$11*J38+$L$11*L38+$M$11*M38+$N$11*N38+$O$11*O38+$P$11*P38+$Q$11*Q38+$S$11*S38+$T$11*T38+$U$11*U38+$V$11*V38+$W$11*W38+$X$11*X38+$Y$11*Y38+$Z$11*Z38+$AA$11*AA38+$AB$11*AB38+$AC$11*AC38+$AD$11*AD38+$AF$11*AF38+$AG$11*AG38+$AH$11*AH38+$AI$11*AI38+$AJ$11*AJ38+$AK$11*AK38+$AN$11*AN38+$AO$11*AO38</f>
        <v>0</v>
      </c>
      <c r="AS38" s="179"/>
      <c r="AT38" s="14"/>
      <c r="AU38" s="176"/>
    </row>
    <row r="39" spans="1:47" s="13" customFormat="1" ht="18" customHeight="1" outlineLevel="1" x14ac:dyDescent="0.2">
      <c r="A39" s="158"/>
      <c r="B39" s="197"/>
      <c r="C39" s="198"/>
      <c r="D39" s="199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189"/>
      <c r="AH39" s="189"/>
      <c r="AI39" s="189"/>
      <c r="AJ39" s="189"/>
      <c r="AK39" s="189"/>
      <c r="AL39" s="189"/>
      <c r="AM39" s="189"/>
      <c r="AN39" s="189"/>
      <c r="AO39" s="189"/>
      <c r="AP39" s="150">
        <f t="shared" si="22"/>
        <v>0</v>
      </c>
      <c r="AQ39" s="12">
        <f t="shared" si="21"/>
        <v>0</v>
      </c>
      <c r="AR39" s="180">
        <f t="shared" si="23"/>
        <v>0</v>
      </c>
      <c r="AS39" s="179"/>
      <c r="AT39" s="14"/>
      <c r="AU39" s="176"/>
    </row>
    <row r="40" spans="1:47" s="13" customFormat="1" ht="18" customHeight="1" outlineLevel="1" x14ac:dyDescent="0.2">
      <c r="A40" s="158"/>
      <c r="B40" s="197"/>
      <c r="C40" s="198"/>
      <c r="D40" s="199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189"/>
      <c r="AH40" s="189"/>
      <c r="AI40" s="189"/>
      <c r="AJ40" s="189"/>
      <c r="AK40" s="189"/>
      <c r="AL40" s="189"/>
      <c r="AM40" s="189"/>
      <c r="AN40" s="189"/>
      <c r="AO40" s="189"/>
      <c r="AP40" s="150">
        <f t="shared" si="22"/>
        <v>0</v>
      </c>
      <c r="AQ40" s="12">
        <f t="shared" si="21"/>
        <v>0</v>
      </c>
      <c r="AR40" s="180">
        <f t="shared" si="23"/>
        <v>0</v>
      </c>
      <c r="AS40" s="179"/>
      <c r="AT40" s="14"/>
      <c r="AU40" s="176"/>
    </row>
    <row r="41" spans="1:47" s="13" customFormat="1" ht="18" customHeight="1" outlineLevel="1" x14ac:dyDescent="0.2">
      <c r="A41" s="158"/>
      <c r="B41" s="197"/>
      <c r="C41" s="198"/>
      <c r="D41" s="199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189"/>
      <c r="AH41" s="189"/>
      <c r="AI41" s="189"/>
      <c r="AJ41" s="189"/>
      <c r="AK41" s="189"/>
      <c r="AL41" s="189"/>
      <c r="AM41" s="189"/>
      <c r="AN41" s="189"/>
      <c r="AO41" s="189"/>
      <c r="AP41" s="150">
        <f t="shared" si="22"/>
        <v>0</v>
      </c>
      <c r="AQ41" s="12">
        <f t="shared" si="21"/>
        <v>0</v>
      </c>
      <c r="AR41" s="180">
        <f t="shared" si="23"/>
        <v>0</v>
      </c>
      <c r="AS41" s="179"/>
      <c r="AT41" s="14"/>
      <c r="AU41" s="176"/>
    </row>
    <row r="42" spans="1:47" s="13" customFormat="1" ht="18" customHeight="1" outlineLevel="1" x14ac:dyDescent="0.2">
      <c r="A42" s="158"/>
      <c r="B42" s="197"/>
      <c r="C42" s="198"/>
      <c r="D42" s="199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189"/>
      <c r="AH42" s="189"/>
      <c r="AI42" s="189"/>
      <c r="AJ42" s="189"/>
      <c r="AK42" s="189"/>
      <c r="AL42" s="189"/>
      <c r="AM42" s="189"/>
      <c r="AN42" s="189"/>
      <c r="AO42" s="189"/>
      <c r="AP42" s="150">
        <f t="shared" si="22"/>
        <v>0</v>
      </c>
      <c r="AQ42" s="12">
        <f t="shared" si="21"/>
        <v>0</v>
      </c>
      <c r="AR42" s="180">
        <f t="shared" si="23"/>
        <v>0</v>
      </c>
      <c r="AS42" s="179"/>
      <c r="AT42" s="14"/>
      <c r="AU42" s="176"/>
    </row>
    <row r="43" spans="1:47" s="13" customFormat="1" ht="18" customHeight="1" outlineLevel="1" x14ac:dyDescent="0.2">
      <c r="A43" s="158"/>
      <c r="B43" s="197"/>
      <c r="C43" s="198"/>
      <c r="D43" s="199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189"/>
      <c r="AH43" s="189"/>
      <c r="AI43" s="189"/>
      <c r="AJ43" s="189"/>
      <c r="AK43" s="189"/>
      <c r="AL43" s="189"/>
      <c r="AM43" s="189"/>
      <c r="AN43" s="189"/>
      <c r="AO43" s="189"/>
      <c r="AP43" s="150">
        <f t="shared" si="22"/>
        <v>0</v>
      </c>
      <c r="AQ43" s="12">
        <f t="shared" si="21"/>
        <v>0</v>
      </c>
      <c r="AR43" s="180">
        <f t="shared" si="23"/>
        <v>0</v>
      </c>
      <c r="AS43" s="179"/>
      <c r="AT43" s="14"/>
      <c r="AU43" s="176"/>
    </row>
    <row r="44" spans="1:47" s="46" customFormat="1" ht="17.25" customHeight="1" x14ac:dyDescent="0.2">
      <c r="A44" s="427" t="s">
        <v>68</v>
      </c>
      <c r="B44" s="427"/>
      <c r="C44" s="201"/>
      <c r="D44" s="202"/>
      <c r="E44" s="226">
        <f t="shared" ref="E44:J44" si="24">SUM(E12:E43)</f>
        <v>0</v>
      </c>
      <c r="F44" s="226">
        <f t="shared" si="24"/>
        <v>0</v>
      </c>
      <c r="G44" s="226">
        <f t="shared" si="24"/>
        <v>0</v>
      </c>
      <c r="H44" s="202">
        <f t="shared" si="24"/>
        <v>1</v>
      </c>
      <c r="I44" s="202">
        <f t="shared" si="24"/>
        <v>0</v>
      </c>
      <c r="J44" s="202">
        <f t="shared" si="24"/>
        <v>1</v>
      </c>
      <c r="K44" s="202"/>
      <c r="L44" s="202">
        <f t="shared" ref="L44:Q44" si="25">SUM(L12:L43)</f>
        <v>1</v>
      </c>
      <c r="M44" s="202">
        <f t="shared" si="25"/>
        <v>1</v>
      </c>
      <c r="N44" s="202">
        <f t="shared" si="25"/>
        <v>1</v>
      </c>
      <c r="O44" s="202">
        <f t="shared" si="25"/>
        <v>0</v>
      </c>
      <c r="P44" s="202">
        <f t="shared" si="25"/>
        <v>0</v>
      </c>
      <c r="Q44" s="202">
        <f t="shared" si="25"/>
        <v>1</v>
      </c>
      <c r="R44" s="202"/>
      <c r="S44" s="202">
        <f t="shared" ref="S44:AD44" si="26">SUM(S12:S43)</f>
        <v>1</v>
      </c>
      <c r="T44" s="202">
        <f t="shared" si="26"/>
        <v>1</v>
      </c>
      <c r="U44" s="202">
        <f t="shared" si="26"/>
        <v>0</v>
      </c>
      <c r="V44" s="202">
        <f t="shared" si="26"/>
        <v>0</v>
      </c>
      <c r="W44" s="202">
        <f t="shared" si="26"/>
        <v>0</v>
      </c>
      <c r="X44" s="202">
        <f t="shared" si="26"/>
        <v>1</v>
      </c>
      <c r="Y44" s="202">
        <f t="shared" si="26"/>
        <v>0</v>
      </c>
      <c r="Z44" s="202">
        <f t="shared" si="26"/>
        <v>0</v>
      </c>
      <c r="AA44" s="202">
        <f t="shared" si="26"/>
        <v>0</v>
      </c>
      <c r="AB44" s="202">
        <f t="shared" si="26"/>
        <v>0</v>
      </c>
      <c r="AC44" s="202">
        <f t="shared" si="26"/>
        <v>0</v>
      </c>
      <c r="AD44" s="202">
        <f t="shared" si="26"/>
        <v>0</v>
      </c>
      <c r="AE44" s="202"/>
      <c r="AF44" s="202">
        <f t="shared" ref="AF44:AK44" si="27">SUM(AF12:AF43)</f>
        <v>1</v>
      </c>
      <c r="AG44" s="202">
        <f t="shared" si="27"/>
        <v>1</v>
      </c>
      <c r="AH44" s="202">
        <f t="shared" si="27"/>
        <v>1</v>
      </c>
      <c r="AI44" s="202">
        <f t="shared" si="27"/>
        <v>0</v>
      </c>
      <c r="AJ44" s="202">
        <f t="shared" si="27"/>
        <v>0</v>
      </c>
      <c r="AK44" s="202">
        <f t="shared" si="27"/>
        <v>1</v>
      </c>
      <c r="AL44" s="202"/>
      <c r="AM44" s="202">
        <f>SUM(AM12:AM43)</f>
        <v>1</v>
      </c>
      <c r="AN44" s="202">
        <f>SUM(AN12:AN43)</f>
        <v>1</v>
      </c>
      <c r="AO44" s="202">
        <f>SUM(AO12:AO43)</f>
        <v>1</v>
      </c>
      <c r="AP44" s="153">
        <f>SUM(E44:AO44)</f>
        <v>16</v>
      </c>
      <c r="AQ44" s="130">
        <f>SUM(AQ12:AQ43)</f>
        <v>20</v>
      </c>
      <c r="AR44" s="180">
        <f>$E$11*E44+$F$11*F44+$G$11*G44+$H$11*H44+$I$11*I44+$J$11*J44+$L$11*L44+$M$11*M44+$N$11*N44+$O$11*O44+$P$11*P44+$Q$11*Q44+$S$11*S44+$T$11*T44+$U$11*U44+$V$11*V44+$W$11*W44+$X$11*X44+$Y$11*Y44+$Z$11*Z44+$AA$11*AA44+$AB$11*AB44+$AC$11*AC44+$AD$11*AD44+$AF$11*AF44+$AG$11*AG44+$AH$11*AH44+$AI$11*AI44+$AJ$11*AJ44+$AK$11*AK44+$AN$11*AN44+$AO$11*AO44+AM11*AM44</f>
        <v>1598.2400000000005</v>
      </c>
      <c r="AS44" s="143"/>
      <c r="AU44" s="173"/>
    </row>
    <row r="45" spans="1:47" s="46" customFormat="1" ht="60" customHeight="1" x14ac:dyDescent="0.2">
      <c r="A45" s="427" t="s">
        <v>69</v>
      </c>
      <c r="B45" s="427"/>
      <c r="C45" s="203"/>
      <c r="D45" s="204"/>
      <c r="E45" s="205">
        <f t="shared" ref="E45:J45" si="28">E44*E11</f>
        <v>0</v>
      </c>
      <c r="F45" s="205">
        <f t="shared" si="28"/>
        <v>0</v>
      </c>
      <c r="G45" s="205">
        <f t="shared" si="28"/>
        <v>0</v>
      </c>
      <c r="H45" s="205">
        <f t="shared" si="28"/>
        <v>99.89</v>
      </c>
      <c r="I45" s="205">
        <f t="shared" si="28"/>
        <v>0</v>
      </c>
      <c r="J45" s="205">
        <f t="shared" si="28"/>
        <v>99.89</v>
      </c>
      <c r="K45" s="205"/>
      <c r="L45" s="205">
        <f t="shared" ref="L45:Q45" si="29">L44*L11</f>
        <v>99.89</v>
      </c>
      <c r="M45" s="205">
        <f t="shared" si="29"/>
        <v>99.89</v>
      </c>
      <c r="N45" s="205">
        <f t="shared" si="29"/>
        <v>99.89</v>
      </c>
      <c r="O45" s="205">
        <f t="shared" si="29"/>
        <v>0</v>
      </c>
      <c r="P45" s="205">
        <f t="shared" si="29"/>
        <v>0</v>
      </c>
      <c r="Q45" s="205">
        <f t="shared" si="29"/>
        <v>99.89</v>
      </c>
      <c r="R45" s="205"/>
      <c r="S45" s="205">
        <f t="shared" ref="S45:AD45" si="30">S44*S11</f>
        <v>99.89</v>
      </c>
      <c r="T45" s="205">
        <f t="shared" si="30"/>
        <v>99.89</v>
      </c>
      <c r="U45" s="205">
        <f t="shared" si="30"/>
        <v>0</v>
      </c>
      <c r="V45" s="205">
        <f t="shared" si="30"/>
        <v>0</v>
      </c>
      <c r="W45" s="205">
        <f t="shared" si="30"/>
        <v>0</v>
      </c>
      <c r="X45" s="205">
        <f t="shared" si="30"/>
        <v>99.89</v>
      </c>
      <c r="Y45" s="205">
        <f t="shared" si="30"/>
        <v>0</v>
      </c>
      <c r="Z45" s="205">
        <f t="shared" si="30"/>
        <v>0</v>
      </c>
      <c r="AA45" s="205">
        <f t="shared" si="30"/>
        <v>0</v>
      </c>
      <c r="AB45" s="205">
        <f t="shared" si="30"/>
        <v>0</v>
      </c>
      <c r="AC45" s="205">
        <f t="shared" si="30"/>
        <v>0</v>
      </c>
      <c r="AD45" s="205">
        <f t="shared" si="30"/>
        <v>0</v>
      </c>
      <c r="AE45" s="205"/>
      <c r="AF45" s="205">
        <f t="shared" ref="AF45:AK45" si="31">AF44*AF11</f>
        <v>99.89</v>
      </c>
      <c r="AG45" s="205">
        <f t="shared" si="31"/>
        <v>99.89</v>
      </c>
      <c r="AH45" s="205">
        <f t="shared" si="31"/>
        <v>99.89</v>
      </c>
      <c r="AI45" s="205">
        <f t="shared" si="31"/>
        <v>0</v>
      </c>
      <c r="AJ45" s="205">
        <f t="shared" si="31"/>
        <v>0</v>
      </c>
      <c r="AK45" s="205">
        <f t="shared" si="31"/>
        <v>99.89</v>
      </c>
      <c r="AL45" s="205"/>
      <c r="AM45" s="205">
        <f>AM44*AM11</f>
        <v>99.89</v>
      </c>
      <c r="AN45" s="205">
        <f>AN44*AN11</f>
        <v>99.89</v>
      </c>
      <c r="AO45" s="205">
        <f>AO44*AO11</f>
        <v>99.89</v>
      </c>
      <c r="AP45" s="154">
        <f>SUM(E45:AO45)</f>
        <v>1598.2400000000005</v>
      </c>
      <c r="AQ45" s="146"/>
      <c r="AS45" s="143"/>
      <c r="AU45" s="173"/>
    </row>
    <row r="46" spans="1:47" ht="18" hidden="1" customHeight="1" outlineLevel="1" x14ac:dyDescent="0.2">
      <c r="D46" s="157"/>
      <c r="E46" s="152"/>
      <c r="AR46" s="21"/>
    </row>
    <row r="47" spans="1:47" ht="24.95" hidden="1" customHeight="1" outlineLevel="1" x14ac:dyDescent="0.2">
      <c r="A47" s="17"/>
      <c r="B47" s="23"/>
      <c r="C47" s="23"/>
      <c r="D47" s="133"/>
      <c r="F47" s="23"/>
      <c r="G47" s="23"/>
      <c r="H47" s="23"/>
      <c r="I47" s="23"/>
      <c r="J47" s="23"/>
      <c r="K47" s="23"/>
      <c r="L47" s="23" t="s">
        <v>81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R47" s="24"/>
    </row>
    <row r="48" spans="1:47" ht="20.25" hidden="1" customHeight="1" outlineLevel="1" x14ac:dyDescent="0.2">
      <c r="D48" s="133"/>
      <c r="E48" s="23"/>
    </row>
    <row r="49" spans="1:47" ht="43.5" hidden="1" customHeight="1" outlineLevel="1" x14ac:dyDescent="0.2">
      <c r="D49" s="31" t="s">
        <v>66</v>
      </c>
      <c r="F49" s="155"/>
      <c r="G49" s="155"/>
      <c r="H49" s="155"/>
      <c r="I49" s="155"/>
      <c r="J49" s="155"/>
      <c r="K49" s="155"/>
      <c r="L49" s="155"/>
      <c r="M49" s="155"/>
      <c r="N49" s="155"/>
      <c r="O49" s="155"/>
      <c r="P49" s="155"/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R49" s="17" t="s">
        <v>58</v>
      </c>
    </row>
    <row r="50" spans="1:47" hidden="1" outlineLevel="1" x14ac:dyDescent="0.2">
      <c r="D50" s="29" t="s">
        <v>59</v>
      </c>
      <c r="E50" s="155"/>
      <c r="F50" s="156">
        <v>41</v>
      </c>
      <c r="G50" s="156">
        <v>40</v>
      </c>
      <c r="H50" s="156">
        <v>47</v>
      </c>
      <c r="I50" s="156">
        <v>33</v>
      </c>
      <c r="J50" s="156">
        <v>28</v>
      </c>
      <c r="K50" s="156"/>
      <c r="L50" s="156">
        <v>48</v>
      </c>
      <c r="M50" s="156"/>
      <c r="N50" s="156">
        <v>48</v>
      </c>
      <c r="O50" s="156">
        <v>49</v>
      </c>
      <c r="P50" s="156">
        <v>48</v>
      </c>
      <c r="Q50" s="156">
        <v>41</v>
      </c>
      <c r="R50" s="156"/>
      <c r="S50" s="156">
        <v>43</v>
      </c>
      <c r="T50" s="156">
        <v>48</v>
      </c>
      <c r="U50" s="156">
        <v>45</v>
      </c>
      <c r="V50" s="156">
        <v>42</v>
      </c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6"/>
      <c r="AI50" s="16"/>
      <c r="AJ50" s="16"/>
      <c r="AK50" s="16"/>
      <c r="AL50" s="16"/>
      <c r="AM50" s="16"/>
      <c r="AN50" s="16"/>
      <c r="AO50" s="16"/>
      <c r="AP50" s="147">
        <f>SUM(E50:AI50)</f>
        <v>601</v>
      </c>
    </row>
    <row r="51" spans="1:47" hidden="1" outlineLevel="1" x14ac:dyDescent="0.2">
      <c r="E51" s="156">
        <v>38</v>
      </c>
    </row>
    <row r="52" spans="1:47" s="161" customFormat="1" hidden="1" outlineLevel="1" x14ac:dyDescent="0.2">
      <c r="A52" s="20"/>
      <c r="D52" s="20"/>
      <c r="E52" s="47"/>
      <c r="K52" s="252"/>
      <c r="M52" s="188"/>
      <c r="R52" s="252"/>
      <c r="AE52" s="252"/>
      <c r="AG52" s="13"/>
      <c r="AH52" s="13"/>
      <c r="AI52" s="13"/>
      <c r="AJ52" s="13"/>
      <c r="AK52" s="13"/>
      <c r="AL52" s="13"/>
      <c r="AM52" s="13"/>
      <c r="AN52" s="13"/>
      <c r="AO52" s="13"/>
      <c r="AP52" s="46"/>
      <c r="AQ52" s="20"/>
      <c r="AS52"/>
      <c r="AU52" s="134"/>
    </row>
    <row r="53" spans="1:47" s="161" customFormat="1" hidden="1" outlineLevel="1" x14ac:dyDescent="0.2">
      <c r="A53" s="20"/>
      <c r="D53" s="20"/>
      <c r="K53" s="252"/>
      <c r="M53" s="188"/>
      <c r="R53" s="252"/>
      <c r="AE53" s="252"/>
      <c r="AG53" s="13"/>
      <c r="AH53" s="13"/>
      <c r="AI53" s="13"/>
      <c r="AJ53" s="13"/>
      <c r="AK53" s="13"/>
      <c r="AL53" s="13"/>
      <c r="AM53" s="13"/>
      <c r="AN53" s="13"/>
      <c r="AO53" s="13"/>
      <c r="AP53" s="46"/>
      <c r="AQ53" s="20"/>
      <c r="AS53"/>
      <c r="AU53" s="134"/>
    </row>
    <row r="54" spans="1:47" s="161" customFormat="1" hidden="1" outlineLevel="1" x14ac:dyDescent="0.2">
      <c r="A54" s="20"/>
      <c r="D54" s="20"/>
      <c r="K54" s="252"/>
      <c r="M54" s="188"/>
      <c r="R54" s="252"/>
      <c r="AE54" s="252"/>
      <c r="AG54" s="13"/>
      <c r="AH54" s="13"/>
      <c r="AI54" s="13"/>
      <c r="AJ54" s="13"/>
      <c r="AK54" s="13"/>
      <c r="AL54" s="13"/>
      <c r="AM54" s="13"/>
      <c r="AN54" s="13"/>
      <c r="AO54" s="13"/>
      <c r="AP54" s="46"/>
      <c r="AQ54" s="20"/>
      <c r="AS54"/>
      <c r="AU54" s="134"/>
    </row>
    <row r="55" spans="1:47" hidden="1" outlineLevel="1" x14ac:dyDescent="0.2">
      <c r="D55" s="29" t="s">
        <v>73</v>
      </c>
      <c r="E55" s="161"/>
      <c r="F55" s="162">
        <f>SUM(F12:F12)</f>
        <v>0</v>
      </c>
      <c r="G55" s="162">
        <f>SUM(G12:G12)</f>
        <v>0</v>
      </c>
      <c r="H55" s="162">
        <f>SUM(H12:H12)</f>
        <v>1</v>
      </c>
      <c r="I55" s="162">
        <f>SUM(I12:I12)</f>
        <v>0</v>
      </c>
      <c r="J55" s="162">
        <f>SUM(J12:J12)</f>
        <v>1</v>
      </c>
      <c r="K55" s="162"/>
      <c r="L55" s="162">
        <f>SUM(L12:L12)</f>
        <v>1</v>
      </c>
      <c r="M55" s="162"/>
      <c r="N55" s="162">
        <f>SUM(N12:N12)</f>
        <v>1</v>
      </c>
      <c r="O55" s="162">
        <f>SUM(O12:O12)</f>
        <v>0</v>
      </c>
      <c r="P55" s="162">
        <f>SUM(P12:P12)</f>
        <v>0</v>
      </c>
      <c r="Q55" s="162">
        <f>SUM(Q12:Q12)</f>
        <v>1</v>
      </c>
      <c r="R55" s="162"/>
      <c r="S55" s="162">
        <f t="shared" ref="S55:AD55" si="32">SUM(S12:S12)</f>
        <v>1</v>
      </c>
      <c r="T55" s="162">
        <f t="shared" si="32"/>
        <v>1</v>
      </c>
      <c r="U55" s="162">
        <f t="shared" si="32"/>
        <v>0</v>
      </c>
      <c r="V55" s="162">
        <f t="shared" si="32"/>
        <v>0</v>
      </c>
      <c r="W55" s="162">
        <f t="shared" si="32"/>
        <v>0</v>
      </c>
      <c r="X55" s="162">
        <f t="shared" si="32"/>
        <v>1</v>
      </c>
      <c r="Y55" s="162">
        <f t="shared" si="32"/>
        <v>0</v>
      </c>
      <c r="Z55" s="162">
        <f t="shared" si="32"/>
        <v>0</v>
      </c>
      <c r="AA55" s="162">
        <f t="shared" si="32"/>
        <v>0</v>
      </c>
      <c r="AB55" s="162">
        <f t="shared" si="32"/>
        <v>0</v>
      </c>
      <c r="AC55" s="162">
        <f t="shared" si="32"/>
        <v>0</v>
      </c>
      <c r="AD55" s="162">
        <f t="shared" si="32"/>
        <v>0</v>
      </c>
      <c r="AE55" s="162"/>
      <c r="AF55" s="162">
        <f>SUM(AF12:AF12)</f>
        <v>1</v>
      </c>
      <c r="AG55" s="162">
        <f>SUM(AG12:AG12)</f>
        <v>1</v>
      </c>
      <c r="AH55" s="162">
        <f>SUM(AH12:AH12)</f>
        <v>1</v>
      </c>
      <c r="AI55" s="162">
        <f>SUM(AI12:AI12)</f>
        <v>0</v>
      </c>
      <c r="AJ55" s="162"/>
      <c r="AK55" s="162"/>
      <c r="AL55" s="162"/>
      <c r="AM55" s="162"/>
      <c r="AN55" s="162"/>
      <c r="AO55" s="162"/>
    </row>
    <row r="56" spans="1:47" hidden="1" outlineLevel="1" x14ac:dyDescent="0.2">
      <c r="D56" s="29" t="s">
        <v>74</v>
      </c>
      <c r="E56" s="162">
        <f>SUM(E12:E12)</f>
        <v>0</v>
      </c>
      <c r="F56" s="162" t="e">
        <f>SUM(#REF!)</f>
        <v>#REF!</v>
      </c>
      <c r="G56" s="162" t="e">
        <f>SUM(#REF!)</f>
        <v>#REF!</v>
      </c>
      <c r="H56" s="162" t="e">
        <f>SUM(#REF!)</f>
        <v>#REF!</v>
      </c>
      <c r="I56" s="162" t="e">
        <f>SUM(#REF!)</f>
        <v>#REF!</v>
      </c>
      <c r="J56" s="162" t="e">
        <f>SUM(#REF!)</f>
        <v>#REF!</v>
      </c>
      <c r="K56" s="162"/>
      <c r="L56" s="162" t="e">
        <f>SUM(#REF!)</f>
        <v>#REF!</v>
      </c>
      <c r="M56" s="162"/>
      <c r="N56" s="162" t="e">
        <f>SUM(#REF!)</f>
        <v>#REF!</v>
      </c>
      <c r="O56" s="162" t="e">
        <f>SUM(#REF!)</f>
        <v>#REF!</v>
      </c>
      <c r="P56" s="162" t="e">
        <f>SUM(#REF!)</f>
        <v>#REF!</v>
      </c>
      <c r="Q56" s="162" t="e">
        <f>SUM(#REF!)</f>
        <v>#REF!</v>
      </c>
      <c r="R56" s="162"/>
      <c r="S56" s="162" t="e">
        <f>SUM(#REF!)</f>
        <v>#REF!</v>
      </c>
      <c r="T56" s="162" t="e">
        <f>SUM(#REF!)</f>
        <v>#REF!</v>
      </c>
      <c r="U56" s="162" t="e">
        <f>SUM(#REF!)</f>
        <v>#REF!</v>
      </c>
      <c r="V56" s="162" t="e">
        <f>SUM(#REF!)</f>
        <v>#REF!</v>
      </c>
      <c r="W56" s="162" t="e">
        <f>SUM(#REF!)</f>
        <v>#REF!</v>
      </c>
      <c r="X56" s="162" t="e">
        <f>SUM(#REF!)</f>
        <v>#REF!</v>
      </c>
      <c r="Y56" s="162" t="e">
        <f>SUM(#REF!)</f>
        <v>#REF!</v>
      </c>
      <c r="Z56" s="162" t="e">
        <f>SUM(#REF!)</f>
        <v>#REF!</v>
      </c>
      <c r="AA56" s="162" t="e">
        <f>SUM(#REF!)</f>
        <v>#REF!</v>
      </c>
      <c r="AB56" s="162" t="e">
        <f>SUM(#REF!)</f>
        <v>#REF!</v>
      </c>
      <c r="AC56" s="162" t="e">
        <f>SUM(#REF!)</f>
        <v>#REF!</v>
      </c>
      <c r="AD56" s="162" t="e">
        <f>SUM(#REF!)</f>
        <v>#REF!</v>
      </c>
      <c r="AE56" s="162"/>
      <c r="AF56" s="162" t="e">
        <f>SUM(#REF!)</f>
        <v>#REF!</v>
      </c>
      <c r="AG56" s="162" t="e">
        <f>SUM(#REF!)</f>
        <v>#REF!</v>
      </c>
      <c r="AH56" s="162" t="e">
        <f>SUM(#REF!)</f>
        <v>#REF!</v>
      </c>
      <c r="AI56" s="162" t="e">
        <f>SUM(#REF!)</f>
        <v>#REF!</v>
      </c>
      <c r="AJ56" s="162"/>
      <c r="AK56" s="162"/>
      <c r="AL56" s="162"/>
      <c r="AM56" s="162"/>
      <c r="AN56" s="162"/>
      <c r="AO56" s="162"/>
    </row>
    <row r="57" spans="1:47" hidden="1" outlineLevel="1" x14ac:dyDescent="0.2">
      <c r="D57" s="29" t="s">
        <v>75</v>
      </c>
      <c r="E57" s="162" t="e">
        <f>SUM(#REF!)</f>
        <v>#REF!</v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</row>
    <row r="58" spans="1:47" hidden="1" outlineLevel="1" x14ac:dyDescent="0.2">
      <c r="D58" s="29" t="s">
        <v>76</v>
      </c>
      <c r="E58" s="162"/>
      <c r="F58" s="162" t="e">
        <f>SUM(#REF!)</f>
        <v>#REF!</v>
      </c>
      <c r="G58" s="162" t="e">
        <f>SUM(#REF!)</f>
        <v>#REF!</v>
      </c>
      <c r="H58" s="162" t="e">
        <f>SUM(#REF!)</f>
        <v>#REF!</v>
      </c>
      <c r="I58" s="162" t="e">
        <f>SUM(#REF!)</f>
        <v>#REF!</v>
      </c>
      <c r="J58" s="162" t="e">
        <f>SUM(#REF!)</f>
        <v>#REF!</v>
      </c>
      <c r="K58" s="162"/>
      <c r="L58" s="162" t="e">
        <f>SUM(#REF!)</f>
        <v>#REF!</v>
      </c>
      <c r="M58" s="162"/>
      <c r="N58" s="162" t="e">
        <f>SUM(#REF!)</f>
        <v>#REF!</v>
      </c>
      <c r="O58" s="162" t="e">
        <f>SUM(#REF!)</f>
        <v>#REF!</v>
      </c>
      <c r="P58" s="162" t="e">
        <f>SUM(#REF!)</f>
        <v>#REF!</v>
      </c>
      <c r="Q58" s="162" t="e">
        <f>SUM(#REF!)</f>
        <v>#REF!</v>
      </c>
      <c r="R58" s="162"/>
      <c r="S58" s="162" t="e">
        <f>SUM(#REF!)</f>
        <v>#REF!</v>
      </c>
      <c r="T58" s="162" t="e">
        <f>SUM(#REF!)</f>
        <v>#REF!</v>
      </c>
      <c r="U58" s="162" t="e">
        <f>SUM(#REF!)</f>
        <v>#REF!</v>
      </c>
      <c r="V58" s="162" t="e">
        <f>SUM(#REF!)</f>
        <v>#REF!</v>
      </c>
      <c r="W58" s="162" t="e">
        <f>SUM(#REF!)</f>
        <v>#REF!</v>
      </c>
      <c r="X58" s="162" t="e">
        <f>SUM(#REF!)</f>
        <v>#REF!</v>
      </c>
      <c r="Y58" s="162" t="e">
        <f>SUM(#REF!)</f>
        <v>#REF!</v>
      </c>
      <c r="Z58" s="162" t="e">
        <f>SUM(#REF!)</f>
        <v>#REF!</v>
      </c>
      <c r="AA58" s="162" t="e">
        <f>SUM(#REF!)</f>
        <v>#REF!</v>
      </c>
      <c r="AB58" s="162" t="e">
        <f>SUM(#REF!)</f>
        <v>#REF!</v>
      </c>
      <c r="AC58" s="162" t="e">
        <f>SUM(#REF!)</f>
        <v>#REF!</v>
      </c>
      <c r="AD58" s="162" t="e">
        <f>SUM(#REF!)</f>
        <v>#REF!</v>
      </c>
      <c r="AE58" s="162"/>
      <c r="AF58" s="162" t="e">
        <f>SUM(#REF!)</f>
        <v>#REF!</v>
      </c>
      <c r="AG58" s="162" t="e">
        <f>SUM(#REF!)</f>
        <v>#REF!</v>
      </c>
      <c r="AH58" s="162" t="e">
        <f>SUM(#REF!)</f>
        <v>#REF!</v>
      </c>
      <c r="AI58" s="162" t="e">
        <f>SUM(#REF!)</f>
        <v>#REF!</v>
      </c>
      <c r="AJ58" s="162"/>
      <c r="AK58" s="162"/>
      <c r="AL58" s="162"/>
      <c r="AM58" s="162"/>
      <c r="AN58" s="162"/>
      <c r="AO58" s="162"/>
    </row>
    <row r="59" spans="1:47" hidden="1" outlineLevel="1" x14ac:dyDescent="0.2">
      <c r="E59" s="162">
        <f t="shared" ref="E59" si="33">SUM(E44:E44)</f>
        <v>0</v>
      </c>
      <c r="F59" s="162" t="e">
        <f t="shared" ref="E59:F60" si="34">SUM(F55:F58)</f>
        <v>#REF!</v>
      </c>
      <c r="G59" s="162" t="e">
        <f>SUM(G55:G58)</f>
        <v>#REF!</v>
      </c>
      <c r="H59" s="162" t="e">
        <f t="shared" ref="H59:AF59" si="35">SUM(H55:H58)</f>
        <v>#REF!</v>
      </c>
      <c r="I59" s="162" t="e">
        <f t="shared" si="35"/>
        <v>#REF!</v>
      </c>
      <c r="J59" s="162" t="e">
        <f t="shared" si="35"/>
        <v>#REF!</v>
      </c>
      <c r="K59" s="162"/>
      <c r="L59" s="162" t="e">
        <f t="shared" si="35"/>
        <v>#REF!</v>
      </c>
      <c r="M59" s="162"/>
      <c r="N59" s="162" t="e">
        <f t="shared" si="35"/>
        <v>#REF!</v>
      </c>
      <c r="O59" s="162" t="e">
        <f t="shared" si="35"/>
        <v>#REF!</v>
      </c>
      <c r="P59" s="162" t="e">
        <f t="shared" si="35"/>
        <v>#REF!</v>
      </c>
      <c r="Q59" s="162" t="e">
        <f t="shared" si="35"/>
        <v>#REF!</v>
      </c>
      <c r="R59" s="162"/>
      <c r="S59" s="162" t="e">
        <f t="shared" si="35"/>
        <v>#REF!</v>
      </c>
      <c r="T59" s="162" t="e">
        <f t="shared" si="35"/>
        <v>#REF!</v>
      </c>
      <c r="U59" s="162" t="e">
        <f t="shared" si="35"/>
        <v>#REF!</v>
      </c>
      <c r="V59" s="162" t="e">
        <f t="shared" si="35"/>
        <v>#REF!</v>
      </c>
      <c r="W59" s="162" t="e">
        <f t="shared" si="35"/>
        <v>#REF!</v>
      </c>
      <c r="X59" s="162" t="e">
        <f t="shared" si="35"/>
        <v>#REF!</v>
      </c>
      <c r="Y59" s="162" t="e">
        <f t="shared" si="35"/>
        <v>#REF!</v>
      </c>
      <c r="Z59" s="162" t="e">
        <f t="shared" si="35"/>
        <v>#REF!</v>
      </c>
      <c r="AA59" s="162" t="e">
        <f t="shared" si="35"/>
        <v>#REF!</v>
      </c>
      <c r="AB59" s="162" t="e">
        <f t="shared" si="35"/>
        <v>#REF!</v>
      </c>
      <c r="AC59" s="162" t="e">
        <f t="shared" si="35"/>
        <v>#REF!</v>
      </c>
      <c r="AD59" s="162" t="e">
        <f t="shared" si="35"/>
        <v>#REF!</v>
      </c>
      <c r="AE59" s="162"/>
      <c r="AF59" s="162" t="e">
        <f t="shared" si="35"/>
        <v>#REF!</v>
      </c>
      <c r="AG59" s="162" t="e">
        <f t="shared" ref="AG59:AI59" si="36">SUM(AG55:AG58)</f>
        <v>#REF!</v>
      </c>
      <c r="AH59" s="162" t="e">
        <f t="shared" si="36"/>
        <v>#REF!</v>
      </c>
      <c r="AI59" s="162" t="e">
        <f t="shared" si="36"/>
        <v>#REF!</v>
      </c>
      <c r="AJ59" s="162"/>
      <c r="AK59" s="162"/>
      <c r="AL59" s="162"/>
      <c r="AM59" s="162"/>
      <c r="AN59" s="162"/>
      <c r="AO59" s="162"/>
    </row>
    <row r="60" spans="1:47" s="161" customFormat="1" hidden="1" outlineLevel="1" x14ac:dyDescent="0.2">
      <c r="A60" s="20"/>
      <c r="D60" s="20"/>
      <c r="E60" s="162" t="e">
        <f t="shared" si="34"/>
        <v>#REF!</v>
      </c>
      <c r="K60" s="252"/>
      <c r="M60" s="188"/>
      <c r="R60" s="252"/>
      <c r="AE60" s="252"/>
      <c r="AG60" s="13"/>
      <c r="AH60" s="13"/>
      <c r="AI60" s="13"/>
      <c r="AJ60" s="13"/>
      <c r="AK60" s="13"/>
      <c r="AL60" s="13"/>
      <c r="AM60" s="13"/>
      <c r="AN60" s="13"/>
      <c r="AO60" s="13"/>
      <c r="AP60" s="46"/>
      <c r="AQ60" s="20"/>
      <c r="AS60"/>
      <c r="AU60" s="134"/>
    </row>
    <row r="61" spans="1:47" s="161" customFormat="1" hidden="1" outlineLevel="1" x14ac:dyDescent="0.2">
      <c r="A61" s="20"/>
      <c r="D61" s="20"/>
      <c r="K61" s="252"/>
      <c r="M61" s="188"/>
      <c r="R61" s="252"/>
      <c r="AE61" s="252"/>
      <c r="AG61" s="13"/>
      <c r="AH61" s="13"/>
      <c r="AI61" s="13"/>
      <c r="AJ61" s="13"/>
      <c r="AK61" s="13"/>
      <c r="AL61" s="13"/>
      <c r="AM61" s="13"/>
      <c r="AN61" s="13"/>
      <c r="AO61" s="13"/>
      <c r="AP61" s="46"/>
      <c r="AQ61" s="20"/>
      <c r="AS61"/>
      <c r="AU61" s="134"/>
    </row>
    <row r="62" spans="1:47" s="161" customFormat="1" hidden="1" outlineLevel="1" x14ac:dyDescent="0.2">
      <c r="A62" s="20"/>
      <c r="D62" s="20"/>
      <c r="K62" s="252"/>
      <c r="M62" s="188"/>
      <c r="R62" s="252"/>
      <c r="AE62" s="252"/>
      <c r="AG62" s="13"/>
      <c r="AH62" s="13"/>
      <c r="AI62" s="13"/>
      <c r="AJ62" s="13"/>
      <c r="AK62" s="13"/>
      <c r="AL62" s="13"/>
      <c r="AM62" s="13"/>
      <c r="AN62" s="13"/>
      <c r="AO62" s="13"/>
      <c r="AP62" s="46"/>
      <c r="AQ62" s="20"/>
      <c r="AS62"/>
      <c r="AU62" s="134"/>
    </row>
    <row r="63" spans="1:47" hidden="1" outlineLevel="1" x14ac:dyDescent="0.2">
      <c r="E63" s="161"/>
    </row>
    <row r="64" spans="1:47" hidden="1" outlineLevel="1" x14ac:dyDescent="0.2"/>
    <row r="65" hidden="1" outlineLevel="1" x14ac:dyDescent="0.2"/>
    <row r="66" hidden="1" outlineLevel="1" x14ac:dyDescent="0.2"/>
    <row r="67" hidden="1" outlineLevel="1" x14ac:dyDescent="0.2"/>
    <row r="68" hidden="1" outlineLevel="1" x14ac:dyDescent="0.2"/>
    <row r="69" hidden="1" outlineLevel="1" x14ac:dyDescent="0.2"/>
    <row r="70" hidden="1" outlineLevel="1" x14ac:dyDescent="0.2"/>
    <row r="71" hidden="1" outlineLevel="1" x14ac:dyDescent="0.2"/>
    <row r="72" hidden="1" outlineLevel="1" x14ac:dyDescent="0.2"/>
    <row r="73" collapsed="1" x14ac:dyDescent="0.2"/>
  </sheetData>
  <sortState ref="A13:AL31">
    <sortCondition ref="B13:B31"/>
  </sortState>
  <mergeCells count="7">
    <mergeCell ref="S7:U7"/>
    <mergeCell ref="AP9:AP10"/>
    <mergeCell ref="A44:B44"/>
    <mergeCell ref="A45:B45"/>
    <mergeCell ref="A9:A11"/>
    <mergeCell ref="D10:D11"/>
    <mergeCell ref="B9:C11"/>
  </mergeCells>
  <pageMargins left="0.31496062992125984" right="0.31496062992125984" top="0.55118110236220474" bottom="0.55118110236220474" header="0.31496062992125984" footer="0"/>
  <pageSetup paperSize="9" scale="62" orientation="landscape" r:id="rId1"/>
  <headerFooter>
    <oddFooter>&amp;LМЦК-ЧЭМК Минобразования Чувашии&amp;CТабель питания студентов категории "малоимущие"&amp;Rстраница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  <pageSetUpPr fitToPage="1"/>
  </sheetPr>
  <dimension ref="A1:GL164"/>
  <sheetViews>
    <sheetView showGridLines="0" zoomScaleNormal="100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G18" sqref="G18:I18"/>
    </sheetView>
  </sheetViews>
  <sheetFormatPr defaultColWidth="10.7109375" defaultRowHeight="12.75" outlineLevelRow="1" x14ac:dyDescent="0.2"/>
  <cols>
    <col min="1" max="1" width="7.140625" style="68" customWidth="1"/>
    <col min="2" max="2" width="16.140625" style="68" customWidth="1"/>
    <col min="3" max="3" width="15.28515625" style="68" customWidth="1"/>
    <col min="4" max="4" width="3.28515625" style="68" customWidth="1"/>
    <col min="5" max="5" width="13.7109375" style="68" customWidth="1"/>
    <col min="6" max="6" width="10.7109375" style="68" customWidth="1"/>
    <col min="7" max="7" width="6.28515625" style="68" customWidth="1"/>
    <col min="8" max="8" width="17.85546875" style="68" customWidth="1"/>
    <col min="9" max="9" width="11.140625" style="68" customWidth="1"/>
    <col min="10" max="10" width="10.7109375" style="95" customWidth="1"/>
    <col min="11" max="11" width="10.7109375" style="68" customWidth="1"/>
    <col min="12" max="256" width="10.7109375" style="68"/>
    <col min="257" max="257" width="7.140625" style="68" customWidth="1"/>
    <col min="258" max="258" width="13.28515625" style="68" customWidth="1"/>
    <col min="259" max="259" width="15.28515625" style="68" customWidth="1"/>
    <col min="260" max="260" width="3.28515625" style="68" customWidth="1"/>
    <col min="261" max="261" width="13.7109375" style="68" customWidth="1"/>
    <col min="262" max="262" width="10.7109375" style="68" customWidth="1"/>
    <col min="263" max="263" width="6.28515625" style="68" customWidth="1"/>
    <col min="264" max="264" width="17.85546875" style="68" customWidth="1"/>
    <col min="265" max="265" width="11.140625" style="68" customWidth="1"/>
    <col min="266" max="267" width="10.7109375" style="68" customWidth="1"/>
    <col min="268" max="512" width="10.7109375" style="68"/>
    <col min="513" max="513" width="7.140625" style="68" customWidth="1"/>
    <col min="514" max="514" width="13.28515625" style="68" customWidth="1"/>
    <col min="515" max="515" width="15.28515625" style="68" customWidth="1"/>
    <col min="516" max="516" width="3.28515625" style="68" customWidth="1"/>
    <col min="517" max="517" width="13.7109375" style="68" customWidth="1"/>
    <col min="518" max="518" width="10.7109375" style="68" customWidth="1"/>
    <col min="519" max="519" width="6.28515625" style="68" customWidth="1"/>
    <col min="520" max="520" width="17.85546875" style="68" customWidth="1"/>
    <col min="521" max="521" width="11.140625" style="68" customWidth="1"/>
    <col min="522" max="523" width="10.7109375" style="68" customWidth="1"/>
    <col min="524" max="768" width="10.7109375" style="68"/>
    <col min="769" max="769" width="7.140625" style="68" customWidth="1"/>
    <col min="770" max="770" width="13.28515625" style="68" customWidth="1"/>
    <col min="771" max="771" width="15.28515625" style="68" customWidth="1"/>
    <col min="772" max="772" width="3.28515625" style="68" customWidth="1"/>
    <col min="773" max="773" width="13.7109375" style="68" customWidth="1"/>
    <col min="774" max="774" width="10.7109375" style="68" customWidth="1"/>
    <col min="775" max="775" width="6.28515625" style="68" customWidth="1"/>
    <col min="776" max="776" width="17.85546875" style="68" customWidth="1"/>
    <col min="777" max="777" width="11.140625" style="68" customWidth="1"/>
    <col min="778" max="779" width="10.7109375" style="68" customWidth="1"/>
    <col min="780" max="1024" width="10.7109375" style="68"/>
    <col min="1025" max="1025" width="7.140625" style="68" customWidth="1"/>
    <col min="1026" max="1026" width="13.28515625" style="68" customWidth="1"/>
    <col min="1027" max="1027" width="15.28515625" style="68" customWidth="1"/>
    <col min="1028" max="1028" width="3.28515625" style="68" customWidth="1"/>
    <col min="1029" max="1029" width="13.7109375" style="68" customWidth="1"/>
    <col min="1030" max="1030" width="10.7109375" style="68" customWidth="1"/>
    <col min="1031" max="1031" width="6.28515625" style="68" customWidth="1"/>
    <col min="1032" max="1032" width="17.85546875" style="68" customWidth="1"/>
    <col min="1033" max="1033" width="11.140625" style="68" customWidth="1"/>
    <col min="1034" max="1035" width="10.7109375" style="68" customWidth="1"/>
    <col min="1036" max="1280" width="10.7109375" style="68"/>
    <col min="1281" max="1281" width="7.140625" style="68" customWidth="1"/>
    <col min="1282" max="1282" width="13.28515625" style="68" customWidth="1"/>
    <col min="1283" max="1283" width="15.28515625" style="68" customWidth="1"/>
    <col min="1284" max="1284" width="3.28515625" style="68" customWidth="1"/>
    <col min="1285" max="1285" width="13.7109375" style="68" customWidth="1"/>
    <col min="1286" max="1286" width="10.7109375" style="68" customWidth="1"/>
    <col min="1287" max="1287" width="6.28515625" style="68" customWidth="1"/>
    <col min="1288" max="1288" width="17.85546875" style="68" customWidth="1"/>
    <col min="1289" max="1289" width="11.140625" style="68" customWidth="1"/>
    <col min="1290" max="1291" width="10.7109375" style="68" customWidth="1"/>
    <col min="1292" max="1536" width="10.7109375" style="68"/>
    <col min="1537" max="1537" width="7.140625" style="68" customWidth="1"/>
    <col min="1538" max="1538" width="13.28515625" style="68" customWidth="1"/>
    <col min="1539" max="1539" width="15.28515625" style="68" customWidth="1"/>
    <col min="1540" max="1540" width="3.28515625" style="68" customWidth="1"/>
    <col min="1541" max="1541" width="13.7109375" style="68" customWidth="1"/>
    <col min="1542" max="1542" width="10.7109375" style="68" customWidth="1"/>
    <col min="1543" max="1543" width="6.28515625" style="68" customWidth="1"/>
    <col min="1544" max="1544" width="17.85546875" style="68" customWidth="1"/>
    <col min="1545" max="1545" width="11.140625" style="68" customWidth="1"/>
    <col min="1546" max="1547" width="10.7109375" style="68" customWidth="1"/>
    <col min="1548" max="1792" width="10.7109375" style="68"/>
    <col min="1793" max="1793" width="7.140625" style="68" customWidth="1"/>
    <col min="1794" max="1794" width="13.28515625" style="68" customWidth="1"/>
    <col min="1795" max="1795" width="15.28515625" style="68" customWidth="1"/>
    <col min="1796" max="1796" width="3.28515625" style="68" customWidth="1"/>
    <col min="1797" max="1797" width="13.7109375" style="68" customWidth="1"/>
    <col min="1798" max="1798" width="10.7109375" style="68" customWidth="1"/>
    <col min="1799" max="1799" width="6.28515625" style="68" customWidth="1"/>
    <col min="1800" max="1800" width="17.85546875" style="68" customWidth="1"/>
    <col min="1801" max="1801" width="11.140625" style="68" customWidth="1"/>
    <col min="1802" max="1803" width="10.7109375" style="68" customWidth="1"/>
    <col min="1804" max="2048" width="10.7109375" style="68"/>
    <col min="2049" max="2049" width="7.140625" style="68" customWidth="1"/>
    <col min="2050" max="2050" width="13.28515625" style="68" customWidth="1"/>
    <col min="2051" max="2051" width="15.28515625" style="68" customWidth="1"/>
    <col min="2052" max="2052" width="3.28515625" style="68" customWidth="1"/>
    <col min="2053" max="2053" width="13.7109375" style="68" customWidth="1"/>
    <col min="2054" max="2054" width="10.7109375" style="68" customWidth="1"/>
    <col min="2055" max="2055" width="6.28515625" style="68" customWidth="1"/>
    <col min="2056" max="2056" width="17.85546875" style="68" customWidth="1"/>
    <col min="2057" max="2057" width="11.140625" style="68" customWidth="1"/>
    <col min="2058" max="2059" width="10.7109375" style="68" customWidth="1"/>
    <col min="2060" max="2304" width="10.7109375" style="68"/>
    <col min="2305" max="2305" width="7.140625" style="68" customWidth="1"/>
    <col min="2306" max="2306" width="13.28515625" style="68" customWidth="1"/>
    <col min="2307" max="2307" width="15.28515625" style="68" customWidth="1"/>
    <col min="2308" max="2308" width="3.28515625" style="68" customWidth="1"/>
    <col min="2309" max="2309" width="13.7109375" style="68" customWidth="1"/>
    <col min="2310" max="2310" width="10.7109375" style="68" customWidth="1"/>
    <col min="2311" max="2311" width="6.28515625" style="68" customWidth="1"/>
    <col min="2312" max="2312" width="17.85546875" style="68" customWidth="1"/>
    <col min="2313" max="2313" width="11.140625" style="68" customWidth="1"/>
    <col min="2314" max="2315" width="10.7109375" style="68" customWidth="1"/>
    <col min="2316" max="2560" width="10.7109375" style="68"/>
    <col min="2561" max="2561" width="7.140625" style="68" customWidth="1"/>
    <col min="2562" max="2562" width="13.28515625" style="68" customWidth="1"/>
    <col min="2563" max="2563" width="15.28515625" style="68" customWidth="1"/>
    <col min="2564" max="2564" width="3.28515625" style="68" customWidth="1"/>
    <col min="2565" max="2565" width="13.7109375" style="68" customWidth="1"/>
    <col min="2566" max="2566" width="10.7109375" style="68" customWidth="1"/>
    <col min="2567" max="2567" width="6.28515625" style="68" customWidth="1"/>
    <col min="2568" max="2568" width="17.85546875" style="68" customWidth="1"/>
    <col min="2569" max="2569" width="11.140625" style="68" customWidth="1"/>
    <col min="2570" max="2571" width="10.7109375" style="68" customWidth="1"/>
    <col min="2572" max="2816" width="10.7109375" style="68"/>
    <col min="2817" max="2817" width="7.140625" style="68" customWidth="1"/>
    <col min="2818" max="2818" width="13.28515625" style="68" customWidth="1"/>
    <col min="2819" max="2819" width="15.28515625" style="68" customWidth="1"/>
    <col min="2820" max="2820" width="3.28515625" style="68" customWidth="1"/>
    <col min="2821" max="2821" width="13.7109375" style="68" customWidth="1"/>
    <col min="2822" max="2822" width="10.7109375" style="68" customWidth="1"/>
    <col min="2823" max="2823" width="6.28515625" style="68" customWidth="1"/>
    <col min="2824" max="2824" width="17.85546875" style="68" customWidth="1"/>
    <col min="2825" max="2825" width="11.140625" style="68" customWidth="1"/>
    <col min="2826" max="2827" width="10.7109375" style="68" customWidth="1"/>
    <col min="2828" max="3072" width="10.7109375" style="68"/>
    <col min="3073" max="3073" width="7.140625" style="68" customWidth="1"/>
    <col min="3074" max="3074" width="13.28515625" style="68" customWidth="1"/>
    <col min="3075" max="3075" width="15.28515625" style="68" customWidth="1"/>
    <col min="3076" max="3076" width="3.28515625" style="68" customWidth="1"/>
    <col min="3077" max="3077" width="13.7109375" style="68" customWidth="1"/>
    <col min="3078" max="3078" width="10.7109375" style="68" customWidth="1"/>
    <col min="3079" max="3079" width="6.28515625" style="68" customWidth="1"/>
    <col min="3080" max="3080" width="17.85546875" style="68" customWidth="1"/>
    <col min="3081" max="3081" width="11.140625" style="68" customWidth="1"/>
    <col min="3082" max="3083" width="10.7109375" style="68" customWidth="1"/>
    <col min="3084" max="3328" width="10.7109375" style="68"/>
    <col min="3329" max="3329" width="7.140625" style="68" customWidth="1"/>
    <col min="3330" max="3330" width="13.28515625" style="68" customWidth="1"/>
    <col min="3331" max="3331" width="15.28515625" style="68" customWidth="1"/>
    <col min="3332" max="3332" width="3.28515625" style="68" customWidth="1"/>
    <col min="3333" max="3333" width="13.7109375" style="68" customWidth="1"/>
    <col min="3334" max="3334" width="10.7109375" style="68" customWidth="1"/>
    <col min="3335" max="3335" width="6.28515625" style="68" customWidth="1"/>
    <col min="3336" max="3336" width="17.85546875" style="68" customWidth="1"/>
    <col min="3337" max="3337" width="11.140625" style="68" customWidth="1"/>
    <col min="3338" max="3339" width="10.7109375" style="68" customWidth="1"/>
    <col min="3340" max="3584" width="10.7109375" style="68"/>
    <col min="3585" max="3585" width="7.140625" style="68" customWidth="1"/>
    <col min="3586" max="3586" width="13.28515625" style="68" customWidth="1"/>
    <col min="3587" max="3587" width="15.28515625" style="68" customWidth="1"/>
    <col min="3588" max="3588" width="3.28515625" style="68" customWidth="1"/>
    <col min="3589" max="3589" width="13.7109375" style="68" customWidth="1"/>
    <col min="3590" max="3590" width="10.7109375" style="68" customWidth="1"/>
    <col min="3591" max="3591" width="6.28515625" style="68" customWidth="1"/>
    <col min="3592" max="3592" width="17.85546875" style="68" customWidth="1"/>
    <col min="3593" max="3593" width="11.140625" style="68" customWidth="1"/>
    <col min="3594" max="3595" width="10.7109375" style="68" customWidth="1"/>
    <col min="3596" max="3840" width="10.7109375" style="68"/>
    <col min="3841" max="3841" width="7.140625" style="68" customWidth="1"/>
    <col min="3842" max="3842" width="13.28515625" style="68" customWidth="1"/>
    <col min="3843" max="3843" width="15.28515625" style="68" customWidth="1"/>
    <col min="3844" max="3844" width="3.28515625" style="68" customWidth="1"/>
    <col min="3845" max="3845" width="13.7109375" style="68" customWidth="1"/>
    <col min="3846" max="3846" width="10.7109375" style="68" customWidth="1"/>
    <col min="3847" max="3847" width="6.28515625" style="68" customWidth="1"/>
    <col min="3848" max="3848" width="17.85546875" style="68" customWidth="1"/>
    <col min="3849" max="3849" width="11.140625" style="68" customWidth="1"/>
    <col min="3850" max="3851" width="10.7109375" style="68" customWidth="1"/>
    <col min="3852" max="4096" width="10.7109375" style="68"/>
    <col min="4097" max="4097" width="7.140625" style="68" customWidth="1"/>
    <col min="4098" max="4098" width="13.28515625" style="68" customWidth="1"/>
    <col min="4099" max="4099" width="15.28515625" style="68" customWidth="1"/>
    <col min="4100" max="4100" width="3.28515625" style="68" customWidth="1"/>
    <col min="4101" max="4101" width="13.7109375" style="68" customWidth="1"/>
    <col min="4102" max="4102" width="10.7109375" style="68" customWidth="1"/>
    <col min="4103" max="4103" width="6.28515625" style="68" customWidth="1"/>
    <col min="4104" max="4104" width="17.85546875" style="68" customWidth="1"/>
    <col min="4105" max="4105" width="11.140625" style="68" customWidth="1"/>
    <col min="4106" max="4107" width="10.7109375" style="68" customWidth="1"/>
    <col min="4108" max="4352" width="10.7109375" style="68"/>
    <col min="4353" max="4353" width="7.140625" style="68" customWidth="1"/>
    <col min="4354" max="4354" width="13.28515625" style="68" customWidth="1"/>
    <col min="4355" max="4355" width="15.28515625" style="68" customWidth="1"/>
    <col min="4356" max="4356" width="3.28515625" style="68" customWidth="1"/>
    <col min="4357" max="4357" width="13.7109375" style="68" customWidth="1"/>
    <col min="4358" max="4358" width="10.7109375" style="68" customWidth="1"/>
    <col min="4359" max="4359" width="6.28515625" style="68" customWidth="1"/>
    <col min="4360" max="4360" width="17.85546875" style="68" customWidth="1"/>
    <col min="4361" max="4361" width="11.140625" style="68" customWidth="1"/>
    <col min="4362" max="4363" width="10.7109375" style="68" customWidth="1"/>
    <col min="4364" max="4608" width="10.7109375" style="68"/>
    <col min="4609" max="4609" width="7.140625" style="68" customWidth="1"/>
    <col min="4610" max="4610" width="13.28515625" style="68" customWidth="1"/>
    <col min="4611" max="4611" width="15.28515625" style="68" customWidth="1"/>
    <col min="4612" max="4612" width="3.28515625" style="68" customWidth="1"/>
    <col min="4613" max="4613" width="13.7109375" style="68" customWidth="1"/>
    <col min="4614" max="4614" width="10.7109375" style="68" customWidth="1"/>
    <col min="4615" max="4615" width="6.28515625" style="68" customWidth="1"/>
    <col min="4616" max="4616" width="17.85546875" style="68" customWidth="1"/>
    <col min="4617" max="4617" width="11.140625" style="68" customWidth="1"/>
    <col min="4618" max="4619" width="10.7109375" style="68" customWidth="1"/>
    <col min="4620" max="4864" width="10.7109375" style="68"/>
    <col min="4865" max="4865" width="7.140625" style="68" customWidth="1"/>
    <col min="4866" max="4866" width="13.28515625" style="68" customWidth="1"/>
    <col min="4867" max="4867" width="15.28515625" style="68" customWidth="1"/>
    <col min="4868" max="4868" width="3.28515625" style="68" customWidth="1"/>
    <col min="4869" max="4869" width="13.7109375" style="68" customWidth="1"/>
    <col min="4870" max="4870" width="10.7109375" style="68" customWidth="1"/>
    <col min="4871" max="4871" width="6.28515625" style="68" customWidth="1"/>
    <col min="4872" max="4872" width="17.85546875" style="68" customWidth="1"/>
    <col min="4873" max="4873" width="11.140625" style="68" customWidth="1"/>
    <col min="4874" max="4875" width="10.7109375" style="68" customWidth="1"/>
    <col min="4876" max="5120" width="10.7109375" style="68"/>
    <col min="5121" max="5121" width="7.140625" style="68" customWidth="1"/>
    <col min="5122" max="5122" width="13.28515625" style="68" customWidth="1"/>
    <col min="5123" max="5123" width="15.28515625" style="68" customWidth="1"/>
    <col min="5124" max="5124" width="3.28515625" style="68" customWidth="1"/>
    <col min="5125" max="5125" width="13.7109375" style="68" customWidth="1"/>
    <col min="5126" max="5126" width="10.7109375" style="68" customWidth="1"/>
    <col min="5127" max="5127" width="6.28515625" style="68" customWidth="1"/>
    <col min="5128" max="5128" width="17.85546875" style="68" customWidth="1"/>
    <col min="5129" max="5129" width="11.140625" style="68" customWidth="1"/>
    <col min="5130" max="5131" width="10.7109375" style="68" customWidth="1"/>
    <col min="5132" max="5376" width="10.7109375" style="68"/>
    <col min="5377" max="5377" width="7.140625" style="68" customWidth="1"/>
    <col min="5378" max="5378" width="13.28515625" style="68" customWidth="1"/>
    <col min="5379" max="5379" width="15.28515625" style="68" customWidth="1"/>
    <col min="5380" max="5380" width="3.28515625" style="68" customWidth="1"/>
    <col min="5381" max="5381" width="13.7109375" style="68" customWidth="1"/>
    <col min="5382" max="5382" width="10.7109375" style="68" customWidth="1"/>
    <col min="5383" max="5383" width="6.28515625" style="68" customWidth="1"/>
    <col min="5384" max="5384" width="17.85546875" style="68" customWidth="1"/>
    <col min="5385" max="5385" width="11.140625" style="68" customWidth="1"/>
    <col min="5386" max="5387" width="10.7109375" style="68" customWidth="1"/>
    <col min="5388" max="5632" width="10.7109375" style="68"/>
    <col min="5633" max="5633" width="7.140625" style="68" customWidth="1"/>
    <col min="5634" max="5634" width="13.28515625" style="68" customWidth="1"/>
    <col min="5635" max="5635" width="15.28515625" style="68" customWidth="1"/>
    <col min="5636" max="5636" width="3.28515625" style="68" customWidth="1"/>
    <col min="5637" max="5637" width="13.7109375" style="68" customWidth="1"/>
    <col min="5638" max="5638" width="10.7109375" style="68" customWidth="1"/>
    <col min="5639" max="5639" width="6.28515625" style="68" customWidth="1"/>
    <col min="5640" max="5640" width="17.85546875" style="68" customWidth="1"/>
    <col min="5641" max="5641" width="11.140625" style="68" customWidth="1"/>
    <col min="5642" max="5643" width="10.7109375" style="68" customWidth="1"/>
    <col min="5644" max="5888" width="10.7109375" style="68"/>
    <col min="5889" max="5889" width="7.140625" style="68" customWidth="1"/>
    <col min="5890" max="5890" width="13.28515625" style="68" customWidth="1"/>
    <col min="5891" max="5891" width="15.28515625" style="68" customWidth="1"/>
    <col min="5892" max="5892" width="3.28515625" style="68" customWidth="1"/>
    <col min="5893" max="5893" width="13.7109375" style="68" customWidth="1"/>
    <col min="5894" max="5894" width="10.7109375" style="68" customWidth="1"/>
    <col min="5895" max="5895" width="6.28515625" style="68" customWidth="1"/>
    <col min="5896" max="5896" width="17.85546875" style="68" customWidth="1"/>
    <col min="5897" max="5897" width="11.140625" style="68" customWidth="1"/>
    <col min="5898" max="5899" width="10.7109375" style="68" customWidth="1"/>
    <col min="5900" max="6144" width="10.7109375" style="68"/>
    <col min="6145" max="6145" width="7.140625" style="68" customWidth="1"/>
    <col min="6146" max="6146" width="13.28515625" style="68" customWidth="1"/>
    <col min="6147" max="6147" width="15.28515625" style="68" customWidth="1"/>
    <col min="6148" max="6148" width="3.28515625" style="68" customWidth="1"/>
    <col min="6149" max="6149" width="13.7109375" style="68" customWidth="1"/>
    <col min="6150" max="6150" width="10.7109375" style="68" customWidth="1"/>
    <col min="6151" max="6151" width="6.28515625" style="68" customWidth="1"/>
    <col min="6152" max="6152" width="17.85546875" style="68" customWidth="1"/>
    <col min="6153" max="6153" width="11.140625" style="68" customWidth="1"/>
    <col min="6154" max="6155" width="10.7109375" style="68" customWidth="1"/>
    <col min="6156" max="6400" width="10.7109375" style="68"/>
    <col min="6401" max="6401" width="7.140625" style="68" customWidth="1"/>
    <col min="6402" max="6402" width="13.28515625" style="68" customWidth="1"/>
    <col min="6403" max="6403" width="15.28515625" style="68" customWidth="1"/>
    <col min="6404" max="6404" width="3.28515625" style="68" customWidth="1"/>
    <col min="6405" max="6405" width="13.7109375" style="68" customWidth="1"/>
    <col min="6406" max="6406" width="10.7109375" style="68" customWidth="1"/>
    <col min="6407" max="6407" width="6.28515625" style="68" customWidth="1"/>
    <col min="6408" max="6408" width="17.85546875" style="68" customWidth="1"/>
    <col min="6409" max="6409" width="11.140625" style="68" customWidth="1"/>
    <col min="6410" max="6411" width="10.7109375" style="68" customWidth="1"/>
    <col min="6412" max="6656" width="10.7109375" style="68"/>
    <col min="6657" max="6657" width="7.140625" style="68" customWidth="1"/>
    <col min="6658" max="6658" width="13.28515625" style="68" customWidth="1"/>
    <col min="6659" max="6659" width="15.28515625" style="68" customWidth="1"/>
    <col min="6660" max="6660" width="3.28515625" style="68" customWidth="1"/>
    <col min="6661" max="6661" width="13.7109375" style="68" customWidth="1"/>
    <col min="6662" max="6662" width="10.7109375" style="68" customWidth="1"/>
    <col min="6663" max="6663" width="6.28515625" style="68" customWidth="1"/>
    <col min="6664" max="6664" width="17.85546875" style="68" customWidth="1"/>
    <col min="6665" max="6665" width="11.140625" style="68" customWidth="1"/>
    <col min="6666" max="6667" width="10.7109375" style="68" customWidth="1"/>
    <col min="6668" max="6912" width="10.7109375" style="68"/>
    <col min="6913" max="6913" width="7.140625" style="68" customWidth="1"/>
    <col min="6914" max="6914" width="13.28515625" style="68" customWidth="1"/>
    <col min="6915" max="6915" width="15.28515625" style="68" customWidth="1"/>
    <col min="6916" max="6916" width="3.28515625" style="68" customWidth="1"/>
    <col min="6917" max="6917" width="13.7109375" style="68" customWidth="1"/>
    <col min="6918" max="6918" width="10.7109375" style="68" customWidth="1"/>
    <col min="6919" max="6919" width="6.28515625" style="68" customWidth="1"/>
    <col min="6920" max="6920" width="17.85546875" style="68" customWidth="1"/>
    <col min="6921" max="6921" width="11.140625" style="68" customWidth="1"/>
    <col min="6922" max="6923" width="10.7109375" style="68" customWidth="1"/>
    <col min="6924" max="7168" width="10.7109375" style="68"/>
    <col min="7169" max="7169" width="7.140625" style="68" customWidth="1"/>
    <col min="7170" max="7170" width="13.28515625" style="68" customWidth="1"/>
    <col min="7171" max="7171" width="15.28515625" style="68" customWidth="1"/>
    <col min="7172" max="7172" width="3.28515625" style="68" customWidth="1"/>
    <col min="7173" max="7173" width="13.7109375" style="68" customWidth="1"/>
    <col min="7174" max="7174" width="10.7109375" style="68" customWidth="1"/>
    <col min="7175" max="7175" width="6.28515625" style="68" customWidth="1"/>
    <col min="7176" max="7176" width="17.85546875" style="68" customWidth="1"/>
    <col min="7177" max="7177" width="11.140625" style="68" customWidth="1"/>
    <col min="7178" max="7179" width="10.7109375" style="68" customWidth="1"/>
    <col min="7180" max="7424" width="10.7109375" style="68"/>
    <col min="7425" max="7425" width="7.140625" style="68" customWidth="1"/>
    <col min="7426" max="7426" width="13.28515625" style="68" customWidth="1"/>
    <col min="7427" max="7427" width="15.28515625" style="68" customWidth="1"/>
    <col min="7428" max="7428" width="3.28515625" style="68" customWidth="1"/>
    <col min="7429" max="7429" width="13.7109375" style="68" customWidth="1"/>
    <col min="7430" max="7430" width="10.7109375" style="68" customWidth="1"/>
    <col min="7431" max="7431" width="6.28515625" style="68" customWidth="1"/>
    <col min="7432" max="7432" width="17.85546875" style="68" customWidth="1"/>
    <col min="7433" max="7433" width="11.140625" style="68" customWidth="1"/>
    <col min="7434" max="7435" width="10.7109375" style="68" customWidth="1"/>
    <col min="7436" max="7680" width="10.7109375" style="68"/>
    <col min="7681" max="7681" width="7.140625" style="68" customWidth="1"/>
    <col min="7682" max="7682" width="13.28515625" style="68" customWidth="1"/>
    <col min="7683" max="7683" width="15.28515625" style="68" customWidth="1"/>
    <col min="7684" max="7684" width="3.28515625" style="68" customWidth="1"/>
    <col min="7685" max="7685" width="13.7109375" style="68" customWidth="1"/>
    <col min="7686" max="7686" width="10.7109375" style="68" customWidth="1"/>
    <col min="7687" max="7687" width="6.28515625" style="68" customWidth="1"/>
    <col min="7688" max="7688" width="17.85546875" style="68" customWidth="1"/>
    <col min="7689" max="7689" width="11.140625" style="68" customWidth="1"/>
    <col min="7690" max="7691" width="10.7109375" style="68" customWidth="1"/>
    <col min="7692" max="7936" width="10.7109375" style="68"/>
    <col min="7937" max="7937" width="7.140625" style="68" customWidth="1"/>
    <col min="7938" max="7938" width="13.28515625" style="68" customWidth="1"/>
    <col min="7939" max="7939" width="15.28515625" style="68" customWidth="1"/>
    <col min="7940" max="7940" width="3.28515625" style="68" customWidth="1"/>
    <col min="7941" max="7941" width="13.7109375" style="68" customWidth="1"/>
    <col min="7942" max="7942" width="10.7109375" style="68" customWidth="1"/>
    <col min="7943" max="7943" width="6.28515625" style="68" customWidth="1"/>
    <col min="7944" max="7944" width="17.85546875" style="68" customWidth="1"/>
    <col min="7945" max="7945" width="11.140625" style="68" customWidth="1"/>
    <col min="7946" max="7947" width="10.7109375" style="68" customWidth="1"/>
    <col min="7948" max="8192" width="10.7109375" style="68"/>
    <col min="8193" max="8193" width="7.140625" style="68" customWidth="1"/>
    <col min="8194" max="8194" width="13.28515625" style="68" customWidth="1"/>
    <col min="8195" max="8195" width="15.28515625" style="68" customWidth="1"/>
    <col min="8196" max="8196" width="3.28515625" style="68" customWidth="1"/>
    <col min="8197" max="8197" width="13.7109375" style="68" customWidth="1"/>
    <col min="8198" max="8198" width="10.7109375" style="68" customWidth="1"/>
    <col min="8199" max="8199" width="6.28515625" style="68" customWidth="1"/>
    <col min="8200" max="8200" width="17.85546875" style="68" customWidth="1"/>
    <col min="8201" max="8201" width="11.140625" style="68" customWidth="1"/>
    <col min="8202" max="8203" width="10.7109375" style="68" customWidth="1"/>
    <col min="8204" max="8448" width="10.7109375" style="68"/>
    <col min="8449" max="8449" width="7.140625" style="68" customWidth="1"/>
    <col min="8450" max="8450" width="13.28515625" style="68" customWidth="1"/>
    <col min="8451" max="8451" width="15.28515625" style="68" customWidth="1"/>
    <col min="8452" max="8452" width="3.28515625" style="68" customWidth="1"/>
    <col min="8453" max="8453" width="13.7109375" style="68" customWidth="1"/>
    <col min="8454" max="8454" width="10.7109375" style="68" customWidth="1"/>
    <col min="8455" max="8455" width="6.28515625" style="68" customWidth="1"/>
    <col min="8456" max="8456" width="17.85546875" style="68" customWidth="1"/>
    <col min="8457" max="8457" width="11.140625" style="68" customWidth="1"/>
    <col min="8458" max="8459" width="10.7109375" style="68" customWidth="1"/>
    <col min="8460" max="8704" width="10.7109375" style="68"/>
    <col min="8705" max="8705" width="7.140625" style="68" customWidth="1"/>
    <col min="8706" max="8706" width="13.28515625" style="68" customWidth="1"/>
    <col min="8707" max="8707" width="15.28515625" style="68" customWidth="1"/>
    <col min="8708" max="8708" width="3.28515625" style="68" customWidth="1"/>
    <col min="8709" max="8709" width="13.7109375" style="68" customWidth="1"/>
    <col min="8710" max="8710" width="10.7109375" style="68" customWidth="1"/>
    <col min="8711" max="8711" width="6.28515625" style="68" customWidth="1"/>
    <col min="8712" max="8712" width="17.85546875" style="68" customWidth="1"/>
    <col min="8713" max="8713" width="11.140625" style="68" customWidth="1"/>
    <col min="8714" max="8715" width="10.7109375" style="68" customWidth="1"/>
    <col min="8716" max="8960" width="10.7109375" style="68"/>
    <col min="8961" max="8961" width="7.140625" style="68" customWidth="1"/>
    <col min="8962" max="8962" width="13.28515625" style="68" customWidth="1"/>
    <col min="8963" max="8963" width="15.28515625" style="68" customWidth="1"/>
    <col min="8964" max="8964" width="3.28515625" style="68" customWidth="1"/>
    <col min="8965" max="8965" width="13.7109375" style="68" customWidth="1"/>
    <col min="8966" max="8966" width="10.7109375" style="68" customWidth="1"/>
    <col min="8967" max="8967" width="6.28515625" style="68" customWidth="1"/>
    <col min="8968" max="8968" width="17.85546875" style="68" customWidth="1"/>
    <col min="8969" max="8969" width="11.140625" style="68" customWidth="1"/>
    <col min="8970" max="8971" width="10.7109375" style="68" customWidth="1"/>
    <col min="8972" max="9216" width="10.7109375" style="68"/>
    <col min="9217" max="9217" width="7.140625" style="68" customWidth="1"/>
    <col min="9218" max="9218" width="13.28515625" style="68" customWidth="1"/>
    <col min="9219" max="9219" width="15.28515625" style="68" customWidth="1"/>
    <col min="9220" max="9220" width="3.28515625" style="68" customWidth="1"/>
    <col min="9221" max="9221" width="13.7109375" style="68" customWidth="1"/>
    <col min="9222" max="9222" width="10.7109375" style="68" customWidth="1"/>
    <col min="9223" max="9223" width="6.28515625" style="68" customWidth="1"/>
    <col min="9224" max="9224" width="17.85546875" style="68" customWidth="1"/>
    <col min="9225" max="9225" width="11.140625" style="68" customWidth="1"/>
    <col min="9226" max="9227" width="10.7109375" style="68" customWidth="1"/>
    <col min="9228" max="9472" width="10.7109375" style="68"/>
    <col min="9473" max="9473" width="7.140625" style="68" customWidth="1"/>
    <col min="9474" max="9474" width="13.28515625" style="68" customWidth="1"/>
    <col min="9475" max="9475" width="15.28515625" style="68" customWidth="1"/>
    <col min="9476" max="9476" width="3.28515625" style="68" customWidth="1"/>
    <col min="9477" max="9477" width="13.7109375" style="68" customWidth="1"/>
    <col min="9478" max="9478" width="10.7109375" style="68" customWidth="1"/>
    <col min="9479" max="9479" width="6.28515625" style="68" customWidth="1"/>
    <col min="9480" max="9480" width="17.85546875" style="68" customWidth="1"/>
    <col min="9481" max="9481" width="11.140625" style="68" customWidth="1"/>
    <col min="9482" max="9483" width="10.7109375" style="68" customWidth="1"/>
    <col min="9484" max="9728" width="10.7109375" style="68"/>
    <col min="9729" max="9729" width="7.140625" style="68" customWidth="1"/>
    <col min="9730" max="9730" width="13.28515625" style="68" customWidth="1"/>
    <col min="9731" max="9731" width="15.28515625" style="68" customWidth="1"/>
    <col min="9732" max="9732" width="3.28515625" style="68" customWidth="1"/>
    <col min="9733" max="9733" width="13.7109375" style="68" customWidth="1"/>
    <col min="9734" max="9734" width="10.7109375" style="68" customWidth="1"/>
    <col min="9735" max="9735" width="6.28515625" style="68" customWidth="1"/>
    <col min="9736" max="9736" width="17.85546875" style="68" customWidth="1"/>
    <col min="9737" max="9737" width="11.140625" style="68" customWidth="1"/>
    <col min="9738" max="9739" width="10.7109375" style="68" customWidth="1"/>
    <col min="9740" max="9984" width="10.7109375" style="68"/>
    <col min="9985" max="9985" width="7.140625" style="68" customWidth="1"/>
    <col min="9986" max="9986" width="13.28515625" style="68" customWidth="1"/>
    <col min="9987" max="9987" width="15.28515625" style="68" customWidth="1"/>
    <col min="9988" max="9988" width="3.28515625" style="68" customWidth="1"/>
    <col min="9989" max="9989" width="13.7109375" style="68" customWidth="1"/>
    <col min="9990" max="9990" width="10.7109375" style="68" customWidth="1"/>
    <col min="9991" max="9991" width="6.28515625" style="68" customWidth="1"/>
    <col min="9992" max="9992" width="17.85546875" style="68" customWidth="1"/>
    <col min="9993" max="9993" width="11.140625" style="68" customWidth="1"/>
    <col min="9994" max="9995" width="10.7109375" style="68" customWidth="1"/>
    <col min="9996" max="10240" width="10.7109375" style="68"/>
    <col min="10241" max="10241" width="7.140625" style="68" customWidth="1"/>
    <col min="10242" max="10242" width="13.28515625" style="68" customWidth="1"/>
    <col min="10243" max="10243" width="15.28515625" style="68" customWidth="1"/>
    <col min="10244" max="10244" width="3.28515625" style="68" customWidth="1"/>
    <col min="10245" max="10245" width="13.7109375" style="68" customWidth="1"/>
    <col min="10246" max="10246" width="10.7109375" style="68" customWidth="1"/>
    <col min="10247" max="10247" width="6.28515625" style="68" customWidth="1"/>
    <col min="10248" max="10248" width="17.85546875" style="68" customWidth="1"/>
    <col min="10249" max="10249" width="11.140625" style="68" customWidth="1"/>
    <col min="10250" max="10251" width="10.7109375" style="68" customWidth="1"/>
    <col min="10252" max="10496" width="10.7109375" style="68"/>
    <col min="10497" max="10497" width="7.140625" style="68" customWidth="1"/>
    <col min="10498" max="10498" width="13.28515625" style="68" customWidth="1"/>
    <col min="10499" max="10499" width="15.28515625" style="68" customWidth="1"/>
    <col min="10500" max="10500" width="3.28515625" style="68" customWidth="1"/>
    <col min="10501" max="10501" width="13.7109375" style="68" customWidth="1"/>
    <col min="10502" max="10502" width="10.7109375" style="68" customWidth="1"/>
    <col min="10503" max="10503" width="6.28515625" style="68" customWidth="1"/>
    <col min="10504" max="10504" width="17.85546875" style="68" customWidth="1"/>
    <col min="10505" max="10505" width="11.140625" style="68" customWidth="1"/>
    <col min="10506" max="10507" width="10.7109375" style="68" customWidth="1"/>
    <col min="10508" max="10752" width="10.7109375" style="68"/>
    <col min="10753" max="10753" width="7.140625" style="68" customWidth="1"/>
    <col min="10754" max="10754" width="13.28515625" style="68" customWidth="1"/>
    <col min="10755" max="10755" width="15.28515625" style="68" customWidth="1"/>
    <col min="10756" max="10756" width="3.28515625" style="68" customWidth="1"/>
    <col min="10757" max="10757" width="13.7109375" style="68" customWidth="1"/>
    <col min="10758" max="10758" width="10.7109375" style="68" customWidth="1"/>
    <col min="10759" max="10759" width="6.28515625" style="68" customWidth="1"/>
    <col min="10760" max="10760" width="17.85546875" style="68" customWidth="1"/>
    <col min="10761" max="10761" width="11.140625" style="68" customWidth="1"/>
    <col min="10762" max="10763" width="10.7109375" style="68" customWidth="1"/>
    <col min="10764" max="11008" width="10.7109375" style="68"/>
    <col min="11009" max="11009" width="7.140625" style="68" customWidth="1"/>
    <col min="11010" max="11010" width="13.28515625" style="68" customWidth="1"/>
    <col min="11011" max="11011" width="15.28515625" style="68" customWidth="1"/>
    <col min="11012" max="11012" width="3.28515625" style="68" customWidth="1"/>
    <col min="11013" max="11013" width="13.7109375" style="68" customWidth="1"/>
    <col min="11014" max="11014" width="10.7109375" style="68" customWidth="1"/>
    <col min="11015" max="11015" width="6.28515625" style="68" customWidth="1"/>
    <col min="11016" max="11016" width="17.85546875" style="68" customWidth="1"/>
    <col min="11017" max="11017" width="11.140625" style="68" customWidth="1"/>
    <col min="11018" max="11019" width="10.7109375" style="68" customWidth="1"/>
    <col min="11020" max="11264" width="10.7109375" style="68"/>
    <col min="11265" max="11265" width="7.140625" style="68" customWidth="1"/>
    <col min="11266" max="11266" width="13.28515625" style="68" customWidth="1"/>
    <col min="11267" max="11267" width="15.28515625" style="68" customWidth="1"/>
    <col min="11268" max="11268" width="3.28515625" style="68" customWidth="1"/>
    <col min="11269" max="11269" width="13.7109375" style="68" customWidth="1"/>
    <col min="11270" max="11270" width="10.7109375" style="68" customWidth="1"/>
    <col min="11271" max="11271" width="6.28515625" style="68" customWidth="1"/>
    <col min="11272" max="11272" width="17.85546875" style="68" customWidth="1"/>
    <col min="11273" max="11273" width="11.140625" style="68" customWidth="1"/>
    <col min="11274" max="11275" width="10.7109375" style="68" customWidth="1"/>
    <col min="11276" max="11520" width="10.7109375" style="68"/>
    <col min="11521" max="11521" width="7.140625" style="68" customWidth="1"/>
    <col min="11522" max="11522" width="13.28515625" style="68" customWidth="1"/>
    <col min="11523" max="11523" width="15.28515625" style="68" customWidth="1"/>
    <col min="11524" max="11524" width="3.28515625" style="68" customWidth="1"/>
    <col min="11525" max="11525" width="13.7109375" style="68" customWidth="1"/>
    <col min="11526" max="11526" width="10.7109375" style="68" customWidth="1"/>
    <col min="11527" max="11527" width="6.28515625" style="68" customWidth="1"/>
    <col min="11528" max="11528" width="17.85546875" style="68" customWidth="1"/>
    <col min="11529" max="11529" width="11.140625" style="68" customWidth="1"/>
    <col min="11530" max="11531" width="10.7109375" style="68" customWidth="1"/>
    <col min="11532" max="11776" width="10.7109375" style="68"/>
    <col min="11777" max="11777" width="7.140625" style="68" customWidth="1"/>
    <col min="11778" max="11778" width="13.28515625" style="68" customWidth="1"/>
    <col min="11779" max="11779" width="15.28515625" style="68" customWidth="1"/>
    <col min="11780" max="11780" width="3.28515625" style="68" customWidth="1"/>
    <col min="11781" max="11781" width="13.7109375" style="68" customWidth="1"/>
    <col min="11782" max="11782" width="10.7109375" style="68" customWidth="1"/>
    <col min="11783" max="11783" width="6.28515625" style="68" customWidth="1"/>
    <col min="11784" max="11784" width="17.85546875" style="68" customWidth="1"/>
    <col min="11785" max="11785" width="11.140625" style="68" customWidth="1"/>
    <col min="11786" max="11787" width="10.7109375" style="68" customWidth="1"/>
    <col min="11788" max="12032" width="10.7109375" style="68"/>
    <col min="12033" max="12033" width="7.140625" style="68" customWidth="1"/>
    <col min="12034" max="12034" width="13.28515625" style="68" customWidth="1"/>
    <col min="12035" max="12035" width="15.28515625" style="68" customWidth="1"/>
    <col min="12036" max="12036" width="3.28515625" style="68" customWidth="1"/>
    <col min="12037" max="12037" width="13.7109375" style="68" customWidth="1"/>
    <col min="12038" max="12038" width="10.7109375" style="68" customWidth="1"/>
    <col min="12039" max="12039" width="6.28515625" style="68" customWidth="1"/>
    <col min="12040" max="12040" width="17.85546875" style="68" customWidth="1"/>
    <col min="12041" max="12041" width="11.140625" style="68" customWidth="1"/>
    <col min="12042" max="12043" width="10.7109375" style="68" customWidth="1"/>
    <col min="12044" max="12288" width="10.7109375" style="68"/>
    <col min="12289" max="12289" width="7.140625" style="68" customWidth="1"/>
    <col min="12290" max="12290" width="13.28515625" style="68" customWidth="1"/>
    <col min="12291" max="12291" width="15.28515625" style="68" customWidth="1"/>
    <col min="12292" max="12292" width="3.28515625" style="68" customWidth="1"/>
    <col min="12293" max="12293" width="13.7109375" style="68" customWidth="1"/>
    <col min="12294" max="12294" width="10.7109375" style="68" customWidth="1"/>
    <col min="12295" max="12295" width="6.28515625" style="68" customWidth="1"/>
    <col min="12296" max="12296" width="17.85546875" style="68" customWidth="1"/>
    <col min="12297" max="12297" width="11.140625" style="68" customWidth="1"/>
    <col min="12298" max="12299" width="10.7109375" style="68" customWidth="1"/>
    <col min="12300" max="12544" width="10.7109375" style="68"/>
    <col min="12545" max="12545" width="7.140625" style="68" customWidth="1"/>
    <col min="12546" max="12546" width="13.28515625" style="68" customWidth="1"/>
    <col min="12547" max="12547" width="15.28515625" style="68" customWidth="1"/>
    <col min="12548" max="12548" width="3.28515625" style="68" customWidth="1"/>
    <col min="12549" max="12549" width="13.7109375" style="68" customWidth="1"/>
    <col min="12550" max="12550" width="10.7109375" style="68" customWidth="1"/>
    <col min="12551" max="12551" width="6.28515625" style="68" customWidth="1"/>
    <col min="12552" max="12552" width="17.85546875" style="68" customWidth="1"/>
    <col min="12553" max="12553" width="11.140625" style="68" customWidth="1"/>
    <col min="12554" max="12555" width="10.7109375" style="68" customWidth="1"/>
    <col min="12556" max="12800" width="10.7109375" style="68"/>
    <col min="12801" max="12801" width="7.140625" style="68" customWidth="1"/>
    <col min="12802" max="12802" width="13.28515625" style="68" customWidth="1"/>
    <col min="12803" max="12803" width="15.28515625" style="68" customWidth="1"/>
    <col min="12804" max="12804" width="3.28515625" style="68" customWidth="1"/>
    <col min="12805" max="12805" width="13.7109375" style="68" customWidth="1"/>
    <col min="12806" max="12806" width="10.7109375" style="68" customWidth="1"/>
    <col min="12807" max="12807" width="6.28515625" style="68" customWidth="1"/>
    <col min="12808" max="12808" width="17.85546875" style="68" customWidth="1"/>
    <col min="12809" max="12809" width="11.140625" style="68" customWidth="1"/>
    <col min="12810" max="12811" width="10.7109375" style="68" customWidth="1"/>
    <col min="12812" max="13056" width="10.7109375" style="68"/>
    <col min="13057" max="13057" width="7.140625" style="68" customWidth="1"/>
    <col min="13058" max="13058" width="13.28515625" style="68" customWidth="1"/>
    <col min="13059" max="13059" width="15.28515625" style="68" customWidth="1"/>
    <col min="13060" max="13060" width="3.28515625" style="68" customWidth="1"/>
    <col min="13061" max="13061" width="13.7109375" style="68" customWidth="1"/>
    <col min="13062" max="13062" width="10.7109375" style="68" customWidth="1"/>
    <col min="13063" max="13063" width="6.28515625" style="68" customWidth="1"/>
    <col min="13064" max="13064" width="17.85546875" style="68" customWidth="1"/>
    <col min="13065" max="13065" width="11.140625" style="68" customWidth="1"/>
    <col min="13066" max="13067" width="10.7109375" style="68" customWidth="1"/>
    <col min="13068" max="13312" width="10.7109375" style="68"/>
    <col min="13313" max="13313" width="7.140625" style="68" customWidth="1"/>
    <col min="13314" max="13314" width="13.28515625" style="68" customWidth="1"/>
    <col min="13315" max="13315" width="15.28515625" style="68" customWidth="1"/>
    <col min="13316" max="13316" width="3.28515625" style="68" customWidth="1"/>
    <col min="13317" max="13317" width="13.7109375" style="68" customWidth="1"/>
    <col min="13318" max="13318" width="10.7109375" style="68" customWidth="1"/>
    <col min="13319" max="13319" width="6.28515625" style="68" customWidth="1"/>
    <col min="13320" max="13320" width="17.85546875" style="68" customWidth="1"/>
    <col min="13321" max="13321" width="11.140625" style="68" customWidth="1"/>
    <col min="13322" max="13323" width="10.7109375" style="68" customWidth="1"/>
    <col min="13324" max="13568" width="10.7109375" style="68"/>
    <col min="13569" max="13569" width="7.140625" style="68" customWidth="1"/>
    <col min="13570" max="13570" width="13.28515625" style="68" customWidth="1"/>
    <col min="13571" max="13571" width="15.28515625" style="68" customWidth="1"/>
    <col min="13572" max="13572" width="3.28515625" style="68" customWidth="1"/>
    <col min="13573" max="13573" width="13.7109375" style="68" customWidth="1"/>
    <col min="13574" max="13574" width="10.7109375" style="68" customWidth="1"/>
    <col min="13575" max="13575" width="6.28515625" style="68" customWidth="1"/>
    <col min="13576" max="13576" width="17.85546875" style="68" customWidth="1"/>
    <col min="13577" max="13577" width="11.140625" style="68" customWidth="1"/>
    <col min="13578" max="13579" width="10.7109375" style="68" customWidth="1"/>
    <col min="13580" max="13824" width="10.7109375" style="68"/>
    <col min="13825" max="13825" width="7.140625" style="68" customWidth="1"/>
    <col min="13826" max="13826" width="13.28515625" style="68" customWidth="1"/>
    <col min="13827" max="13827" width="15.28515625" style="68" customWidth="1"/>
    <col min="13828" max="13828" width="3.28515625" style="68" customWidth="1"/>
    <col min="13829" max="13829" width="13.7109375" style="68" customWidth="1"/>
    <col min="13830" max="13830" width="10.7109375" style="68" customWidth="1"/>
    <col min="13831" max="13831" width="6.28515625" style="68" customWidth="1"/>
    <col min="13832" max="13832" width="17.85546875" style="68" customWidth="1"/>
    <col min="13833" max="13833" width="11.140625" style="68" customWidth="1"/>
    <col min="13834" max="13835" width="10.7109375" style="68" customWidth="1"/>
    <col min="13836" max="14080" width="10.7109375" style="68"/>
    <col min="14081" max="14081" width="7.140625" style="68" customWidth="1"/>
    <col min="14082" max="14082" width="13.28515625" style="68" customWidth="1"/>
    <col min="14083" max="14083" width="15.28515625" style="68" customWidth="1"/>
    <col min="14084" max="14084" width="3.28515625" style="68" customWidth="1"/>
    <col min="14085" max="14085" width="13.7109375" style="68" customWidth="1"/>
    <col min="14086" max="14086" width="10.7109375" style="68" customWidth="1"/>
    <col min="14087" max="14087" width="6.28515625" style="68" customWidth="1"/>
    <col min="14088" max="14088" width="17.85546875" style="68" customWidth="1"/>
    <col min="14089" max="14089" width="11.140625" style="68" customWidth="1"/>
    <col min="14090" max="14091" width="10.7109375" style="68" customWidth="1"/>
    <col min="14092" max="14336" width="10.7109375" style="68"/>
    <col min="14337" max="14337" width="7.140625" style="68" customWidth="1"/>
    <col min="14338" max="14338" width="13.28515625" style="68" customWidth="1"/>
    <col min="14339" max="14339" width="15.28515625" style="68" customWidth="1"/>
    <col min="14340" max="14340" width="3.28515625" style="68" customWidth="1"/>
    <col min="14341" max="14341" width="13.7109375" style="68" customWidth="1"/>
    <col min="14342" max="14342" width="10.7109375" style="68" customWidth="1"/>
    <col min="14343" max="14343" width="6.28515625" style="68" customWidth="1"/>
    <col min="14344" max="14344" width="17.85546875" style="68" customWidth="1"/>
    <col min="14345" max="14345" width="11.140625" style="68" customWidth="1"/>
    <col min="14346" max="14347" width="10.7109375" style="68" customWidth="1"/>
    <col min="14348" max="14592" width="10.7109375" style="68"/>
    <col min="14593" max="14593" width="7.140625" style="68" customWidth="1"/>
    <col min="14594" max="14594" width="13.28515625" style="68" customWidth="1"/>
    <col min="14595" max="14595" width="15.28515625" style="68" customWidth="1"/>
    <col min="14596" max="14596" width="3.28515625" style="68" customWidth="1"/>
    <col min="14597" max="14597" width="13.7109375" style="68" customWidth="1"/>
    <col min="14598" max="14598" width="10.7109375" style="68" customWidth="1"/>
    <col min="14599" max="14599" width="6.28515625" style="68" customWidth="1"/>
    <col min="14600" max="14600" width="17.85546875" style="68" customWidth="1"/>
    <col min="14601" max="14601" width="11.140625" style="68" customWidth="1"/>
    <col min="14602" max="14603" width="10.7109375" style="68" customWidth="1"/>
    <col min="14604" max="14848" width="10.7109375" style="68"/>
    <col min="14849" max="14849" width="7.140625" style="68" customWidth="1"/>
    <col min="14850" max="14850" width="13.28515625" style="68" customWidth="1"/>
    <col min="14851" max="14851" width="15.28515625" style="68" customWidth="1"/>
    <col min="14852" max="14852" width="3.28515625" style="68" customWidth="1"/>
    <col min="14853" max="14853" width="13.7109375" style="68" customWidth="1"/>
    <col min="14854" max="14854" width="10.7109375" style="68" customWidth="1"/>
    <col min="14855" max="14855" width="6.28515625" style="68" customWidth="1"/>
    <col min="14856" max="14856" width="17.85546875" style="68" customWidth="1"/>
    <col min="14857" max="14857" width="11.140625" style="68" customWidth="1"/>
    <col min="14858" max="14859" width="10.7109375" style="68" customWidth="1"/>
    <col min="14860" max="15104" width="10.7109375" style="68"/>
    <col min="15105" max="15105" width="7.140625" style="68" customWidth="1"/>
    <col min="15106" max="15106" width="13.28515625" style="68" customWidth="1"/>
    <col min="15107" max="15107" width="15.28515625" style="68" customWidth="1"/>
    <col min="15108" max="15108" width="3.28515625" style="68" customWidth="1"/>
    <col min="15109" max="15109" width="13.7109375" style="68" customWidth="1"/>
    <col min="15110" max="15110" width="10.7109375" style="68" customWidth="1"/>
    <col min="15111" max="15111" width="6.28515625" style="68" customWidth="1"/>
    <col min="15112" max="15112" width="17.85546875" style="68" customWidth="1"/>
    <col min="15113" max="15113" width="11.140625" style="68" customWidth="1"/>
    <col min="15114" max="15115" width="10.7109375" style="68" customWidth="1"/>
    <col min="15116" max="15360" width="10.7109375" style="68"/>
    <col min="15361" max="15361" width="7.140625" style="68" customWidth="1"/>
    <col min="15362" max="15362" width="13.28515625" style="68" customWidth="1"/>
    <col min="15363" max="15363" width="15.28515625" style="68" customWidth="1"/>
    <col min="15364" max="15364" width="3.28515625" style="68" customWidth="1"/>
    <col min="15365" max="15365" width="13.7109375" style="68" customWidth="1"/>
    <col min="15366" max="15366" width="10.7109375" style="68" customWidth="1"/>
    <col min="15367" max="15367" width="6.28515625" style="68" customWidth="1"/>
    <col min="15368" max="15368" width="17.85546875" style="68" customWidth="1"/>
    <col min="15369" max="15369" width="11.140625" style="68" customWidth="1"/>
    <col min="15370" max="15371" width="10.7109375" style="68" customWidth="1"/>
    <col min="15372" max="15616" width="10.7109375" style="68"/>
    <col min="15617" max="15617" width="7.140625" style="68" customWidth="1"/>
    <col min="15618" max="15618" width="13.28515625" style="68" customWidth="1"/>
    <col min="15619" max="15619" width="15.28515625" style="68" customWidth="1"/>
    <col min="15620" max="15620" width="3.28515625" style="68" customWidth="1"/>
    <col min="15621" max="15621" width="13.7109375" style="68" customWidth="1"/>
    <col min="15622" max="15622" width="10.7109375" style="68" customWidth="1"/>
    <col min="15623" max="15623" width="6.28515625" style="68" customWidth="1"/>
    <col min="15624" max="15624" width="17.85546875" style="68" customWidth="1"/>
    <col min="15625" max="15625" width="11.140625" style="68" customWidth="1"/>
    <col min="15626" max="15627" width="10.7109375" style="68" customWidth="1"/>
    <col min="15628" max="15872" width="10.7109375" style="68"/>
    <col min="15873" max="15873" width="7.140625" style="68" customWidth="1"/>
    <col min="15874" max="15874" width="13.28515625" style="68" customWidth="1"/>
    <col min="15875" max="15875" width="15.28515625" style="68" customWidth="1"/>
    <col min="15876" max="15876" width="3.28515625" style="68" customWidth="1"/>
    <col min="15877" max="15877" width="13.7109375" style="68" customWidth="1"/>
    <col min="15878" max="15878" width="10.7109375" style="68" customWidth="1"/>
    <col min="15879" max="15879" width="6.28515625" style="68" customWidth="1"/>
    <col min="15880" max="15880" width="17.85546875" style="68" customWidth="1"/>
    <col min="15881" max="15881" width="11.140625" style="68" customWidth="1"/>
    <col min="15882" max="15883" width="10.7109375" style="68" customWidth="1"/>
    <col min="15884" max="16128" width="10.7109375" style="68"/>
    <col min="16129" max="16129" width="7.140625" style="68" customWidth="1"/>
    <col min="16130" max="16130" width="13.28515625" style="68" customWidth="1"/>
    <col min="16131" max="16131" width="15.28515625" style="68" customWidth="1"/>
    <col min="16132" max="16132" width="3.28515625" style="68" customWidth="1"/>
    <col min="16133" max="16133" width="13.7109375" style="68" customWidth="1"/>
    <col min="16134" max="16134" width="10.7109375" style="68" customWidth="1"/>
    <col min="16135" max="16135" width="6.28515625" style="68" customWidth="1"/>
    <col min="16136" max="16136" width="17.85546875" style="68" customWidth="1"/>
    <col min="16137" max="16137" width="11.140625" style="68" customWidth="1"/>
    <col min="16138" max="16139" width="10.7109375" style="68" customWidth="1"/>
    <col min="16140" max="16384" width="10.7109375" style="68"/>
  </cols>
  <sheetData>
    <row r="1" spans="1:194" s="50" customFormat="1" ht="21.75" customHeight="1" outlineLevel="1" x14ac:dyDescent="0.25">
      <c r="A1" s="50" t="s">
        <v>17</v>
      </c>
      <c r="B1" s="51" t="str">
        <f>CONCATENATE(A98,"  ",A100)</f>
        <v>Одна тысяча шестьсот девяносто пять рублей  20 коп.</v>
      </c>
      <c r="C1" s="51"/>
      <c r="D1" s="51"/>
      <c r="E1" s="51"/>
      <c r="F1" s="51"/>
      <c r="G1" s="51"/>
      <c r="H1" s="51"/>
      <c r="I1" s="51"/>
      <c r="J1" s="52"/>
    </row>
    <row r="2" spans="1:194" s="50" customFormat="1" ht="15.2" customHeight="1" outlineLevel="1" collapsed="1" x14ac:dyDescent="0.25">
      <c r="A2" s="50" t="s">
        <v>85</v>
      </c>
      <c r="C2" s="53"/>
      <c r="E2" s="54" t="s">
        <v>86</v>
      </c>
      <c r="H2" s="55"/>
      <c r="J2" s="52"/>
    </row>
    <row r="3" spans="1:194" s="56" customFormat="1" ht="10.5" customHeight="1" outlineLevel="1" x14ac:dyDescent="0.15">
      <c r="C3" s="57" t="s">
        <v>18</v>
      </c>
      <c r="D3" s="58"/>
      <c r="E3" s="59" t="s">
        <v>19</v>
      </c>
      <c r="H3" s="60"/>
      <c r="J3" s="61"/>
    </row>
    <row r="4" spans="1:194" s="50" customFormat="1" ht="15.2" customHeight="1" outlineLevel="1" x14ac:dyDescent="0.25">
      <c r="A4" s="50" t="s">
        <v>89</v>
      </c>
      <c r="C4" s="53"/>
      <c r="E4" s="54" t="s">
        <v>90</v>
      </c>
      <c r="H4" s="55"/>
      <c r="J4" s="52"/>
    </row>
    <row r="5" spans="1:194" s="63" customFormat="1" ht="24.75" customHeight="1" outlineLevel="1" x14ac:dyDescent="0.2">
      <c r="A5" s="62"/>
      <c r="C5" s="64" t="s">
        <v>18</v>
      </c>
      <c r="D5" s="58"/>
      <c r="E5" s="59" t="s">
        <v>19</v>
      </c>
      <c r="F5" s="56"/>
      <c r="H5" s="60"/>
      <c r="J5" s="65"/>
    </row>
    <row r="6" spans="1:194" s="50" customFormat="1" ht="16.5" customHeight="1" x14ac:dyDescent="0.3">
      <c r="E6" s="66" t="s">
        <v>20</v>
      </c>
      <c r="F6" s="53"/>
      <c r="I6" s="67" t="s">
        <v>21</v>
      </c>
      <c r="J6" s="52"/>
    </row>
    <row r="7" spans="1:194" ht="18" customHeight="1" x14ac:dyDescent="0.25">
      <c r="B7" s="406" t="s">
        <v>71</v>
      </c>
      <c r="C7" s="406"/>
      <c r="D7" s="406"/>
      <c r="E7" s="406"/>
      <c r="F7" s="406"/>
      <c r="G7" s="406"/>
      <c r="H7" s="71" t="s">
        <v>22</v>
      </c>
      <c r="I7" s="72" t="s">
        <v>23</v>
      </c>
      <c r="J7" s="73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50" customFormat="1" ht="23.25" customHeight="1" x14ac:dyDescent="0.25">
      <c r="B8" s="74" t="s">
        <v>9</v>
      </c>
      <c r="C8" s="408" t="s">
        <v>126</v>
      </c>
      <c r="D8" s="408"/>
      <c r="E8" s="408"/>
      <c r="F8" s="408"/>
      <c r="G8" s="75" t="s">
        <v>118</v>
      </c>
      <c r="H8" s="71" t="s">
        <v>24</v>
      </c>
      <c r="I8" s="159">
        <v>45930</v>
      </c>
      <c r="J8" s="52"/>
    </row>
    <row r="9" spans="1:194" s="81" customFormat="1" ht="26.25" customHeight="1" x14ac:dyDescent="0.25">
      <c r="A9" s="409" t="s">
        <v>25</v>
      </c>
      <c r="B9" s="409"/>
      <c r="C9" s="76" t="s">
        <v>26</v>
      </c>
      <c r="D9" s="77"/>
      <c r="E9" s="78"/>
      <c r="F9" s="78"/>
      <c r="G9" s="78"/>
      <c r="H9" s="71" t="s">
        <v>27</v>
      </c>
      <c r="I9" s="79" t="s">
        <v>28</v>
      </c>
      <c r="J9" s="80"/>
    </row>
    <row r="10" spans="1:194" s="50" customFormat="1" ht="13.5" customHeight="1" x14ac:dyDescent="0.2">
      <c r="A10" s="82" t="s">
        <v>29</v>
      </c>
      <c r="C10" s="410" t="s">
        <v>91</v>
      </c>
      <c r="D10" s="410"/>
      <c r="E10" s="410"/>
      <c r="F10" s="410"/>
      <c r="G10" s="410"/>
      <c r="H10" s="74" t="s">
        <v>30</v>
      </c>
      <c r="I10" s="83"/>
      <c r="J10" s="52"/>
    </row>
    <row r="11" spans="1:194" s="81" customFormat="1" ht="12" customHeight="1" x14ac:dyDescent="0.3">
      <c r="A11" s="84" t="s">
        <v>31</v>
      </c>
      <c r="B11" s="85"/>
      <c r="C11" s="77"/>
      <c r="D11" s="86"/>
      <c r="E11" s="87"/>
      <c r="F11" s="88"/>
      <c r="G11" s="87"/>
      <c r="H11" s="74" t="s">
        <v>32</v>
      </c>
      <c r="I11" s="83"/>
      <c r="J11" s="80"/>
    </row>
    <row r="12" spans="1:194" s="81" customFormat="1" ht="12" customHeight="1" x14ac:dyDescent="0.25">
      <c r="A12" s="84" t="s">
        <v>33</v>
      </c>
      <c r="B12" s="85"/>
      <c r="C12" s="89"/>
      <c r="D12" s="90"/>
      <c r="E12" s="90"/>
      <c r="F12" s="90"/>
      <c r="G12" s="90"/>
      <c r="H12" s="74" t="s">
        <v>34</v>
      </c>
      <c r="I12" s="83"/>
      <c r="J12" s="80"/>
    </row>
    <row r="13" spans="1:194" s="81" customFormat="1" ht="12" customHeight="1" x14ac:dyDescent="0.25">
      <c r="A13" s="91" t="s">
        <v>35</v>
      </c>
      <c r="B13" s="85"/>
      <c r="C13" s="89"/>
      <c r="D13" s="90"/>
      <c r="E13" s="90"/>
      <c r="F13" s="90"/>
      <c r="G13" s="90"/>
      <c r="H13" s="74" t="s">
        <v>36</v>
      </c>
      <c r="I13" s="83"/>
      <c r="J13" s="80"/>
    </row>
    <row r="14" spans="1:194" ht="12" customHeight="1" x14ac:dyDescent="0.2">
      <c r="A14" s="84" t="s">
        <v>37</v>
      </c>
      <c r="H14" s="74" t="s">
        <v>38</v>
      </c>
      <c r="I14" s="79" t="s">
        <v>39</v>
      </c>
      <c r="J14" s="73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ht="12" customHeight="1" x14ac:dyDescent="0.2">
      <c r="A15" s="84" t="s">
        <v>40</v>
      </c>
      <c r="C15" s="92" t="s">
        <v>41</v>
      </c>
      <c r="E15" s="93"/>
      <c r="F15" s="93"/>
      <c r="G15" s="93"/>
      <c r="I15" s="94"/>
    </row>
    <row r="16" spans="1:194" s="98" customFormat="1" ht="28.5" customHeight="1" x14ac:dyDescent="0.2">
      <c r="A16" s="217" t="s">
        <v>1</v>
      </c>
      <c r="B16" s="411" t="s">
        <v>12</v>
      </c>
      <c r="C16" s="411"/>
      <c r="D16" s="411"/>
      <c r="E16" s="411"/>
      <c r="F16" s="218" t="s">
        <v>2</v>
      </c>
      <c r="G16" s="412" t="s">
        <v>42</v>
      </c>
      <c r="H16" s="412"/>
      <c r="I16" s="412"/>
      <c r="J16" s="96"/>
      <c r="K16" s="97"/>
    </row>
    <row r="17" spans="1:11" s="101" customFormat="1" ht="10.5" customHeight="1" x14ac:dyDescent="0.2">
      <c r="A17" s="99">
        <v>1</v>
      </c>
      <c r="B17" s="407">
        <v>2</v>
      </c>
      <c r="C17" s="407"/>
      <c r="D17" s="407"/>
      <c r="E17" s="407"/>
      <c r="F17" s="99">
        <v>3</v>
      </c>
      <c r="G17" s="407">
        <v>4</v>
      </c>
      <c r="H17" s="407"/>
      <c r="I17" s="407"/>
      <c r="J17" s="100"/>
    </row>
    <row r="18" spans="1:11" s="104" customFormat="1" ht="18" customHeight="1" x14ac:dyDescent="0.25">
      <c r="A18" s="223">
        <v>2</v>
      </c>
      <c r="B18" s="404">
        <f>'табель ОВЗ обед'!B12</f>
        <v>0</v>
      </c>
      <c r="C18" s="404"/>
      <c r="D18" s="404"/>
      <c r="E18" s="404"/>
      <c r="F18" s="132">
        <f>'табель ОВЗ обед'!C12</f>
        <v>0</v>
      </c>
      <c r="G18" s="430">
        <f>'табель ОВЗ завтрак'!AR12+'табель ОВЗ обед'!AO12</f>
        <v>1173.5999999999999</v>
      </c>
      <c r="H18" s="431"/>
      <c r="I18" s="432"/>
      <c r="J18" s="103"/>
      <c r="K18" s="103"/>
    </row>
    <row r="19" spans="1:11" s="104" customFormat="1" ht="15" customHeight="1" outlineLevel="1" x14ac:dyDescent="0.25">
      <c r="A19" s="223">
        <v>7</v>
      </c>
      <c r="B19" s="404">
        <f>'табель ОВЗ обед'!B13</f>
        <v>0</v>
      </c>
      <c r="C19" s="404"/>
      <c r="D19" s="404"/>
      <c r="E19" s="404"/>
      <c r="F19" s="132">
        <f>'табель ОВЗ обед'!C13</f>
        <v>0</v>
      </c>
      <c r="G19" s="405">
        <f>'табель ОВЗ завтрак'!AR13+'табель ОВЗ обед'!AO13</f>
        <v>521.6</v>
      </c>
      <c r="H19" s="405"/>
      <c r="I19" s="405"/>
      <c r="J19" s="103"/>
      <c r="K19" s="105"/>
    </row>
    <row r="20" spans="1:11" s="104" customFormat="1" ht="15" hidden="1" customHeight="1" outlineLevel="1" x14ac:dyDescent="0.25">
      <c r="A20" s="223">
        <v>8</v>
      </c>
      <c r="B20" s="404">
        <f>'табель ОВЗ обед'!B14</f>
        <v>0</v>
      </c>
      <c r="C20" s="404"/>
      <c r="D20" s="404"/>
      <c r="E20" s="404"/>
      <c r="F20" s="132">
        <f>'табель ОВЗ обед'!C14</f>
        <v>0</v>
      </c>
      <c r="G20" s="405">
        <f>'табель ОВЗ завтрак'!AR14+'табель ОВЗ обед'!AO14</f>
        <v>0</v>
      </c>
      <c r="H20" s="405"/>
      <c r="I20" s="405"/>
      <c r="J20" s="95"/>
      <c r="K20" s="105"/>
    </row>
    <row r="21" spans="1:11" s="104" customFormat="1" ht="15" hidden="1" customHeight="1" outlineLevel="1" collapsed="1" x14ac:dyDescent="0.25">
      <c r="A21" s="223">
        <v>9</v>
      </c>
      <c r="B21" s="404">
        <f>'табель ОВЗ обед'!B15</f>
        <v>0</v>
      </c>
      <c r="C21" s="404"/>
      <c r="D21" s="404"/>
      <c r="E21" s="404"/>
      <c r="F21" s="132">
        <f>'табель ОВЗ обед'!C15</f>
        <v>0</v>
      </c>
      <c r="G21" s="405">
        <f>'табель ОВЗ завтрак'!AR15+'табель ОВЗ обед'!AO15</f>
        <v>0</v>
      </c>
      <c r="H21" s="405"/>
      <c r="I21" s="405"/>
      <c r="J21" s="95"/>
      <c r="K21" s="105"/>
    </row>
    <row r="22" spans="1:11" s="104" customFormat="1" ht="15" hidden="1" customHeight="1" outlineLevel="1" collapsed="1" x14ac:dyDescent="0.25">
      <c r="A22" s="223">
        <v>10</v>
      </c>
      <c r="B22" s="404">
        <f>'табель ОВЗ обед'!B16</f>
        <v>0</v>
      </c>
      <c r="C22" s="404"/>
      <c r="D22" s="404"/>
      <c r="E22" s="404"/>
      <c r="F22" s="132">
        <f>'табель ОВЗ обед'!C16</f>
        <v>0</v>
      </c>
      <c r="G22" s="405">
        <f>'табель ОВЗ завтрак'!AR16+'табель ОВЗ обед'!AO16</f>
        <v>0</v>
      </c>
      <c r="H22" s="405"/>
      <c r="I22" s="405"/>
      <c r="J22" s="103"/>
      <c r="K22" s="105"/>
    </row>
    <row r="23" spans="1:11" s="104" customFormat="1" ht="15" hidden="1" customHeight="1" outlineLevel="1" collapsed="1" x14ac:dyDescent="0.25">
      <c r="A23" s="102">
        <v>10</v>
      </c>
      <c r="B23" s="404">
        <f>'табель ОВЗ обед'!B17</f>
        <v>0</v>
      </c>
      <c r="C23" s="404"/>
      <c r="D23" s="404"/>
      <c r="E23" s="404"/>
      <c r="F23" s="132">
        <f>'табель ОВЗ обед'!C17</f>
        <v>0</v>
      </c>
      <c r="G23" s="405">
        <f>'табель ОВЗ завтрак'!AR17+'табель ОВЗ обед'!AO17</f>
        <v>0</v>
      </c>
      <c r="H23" s="405"/>
      <c r="I23" s="405"/>
      <c r="J23" s="103"/>
      <c r="K23" s="105"/>
    </row>
    <row r="24" spans="1:11" s="104" customFormat="1" ht="15" hidden="1" customHeight="1" outlineLevel="1" x14ac:dyDescent="0.25">
      <c r="A24" s="102">
        <v>11</v>
      </c>
      <c r="B24" s="404">
        <f>'табель ОВЗ обед'!B18</f>
        <v>0</v>
      </c>
      <c r="C24" s="404"/>
      <c r="D24" s="404"/>
      <c r="E24" s="404"/>
      <c r="F24" s="132">
        <f>'табель ОВЗ обед'!C18</f>
        <v>0</v>
      </c>
      <c r="G24" s="405">
        <f>'табель ОВЗ завтрак'!AR18+'табель ОВЗ обед'!AO18</f>
        <v>0</v>
      </c>
      <c r="H24" s="405"/>
      <c r="I24" s="405"/>
      <c r="J24" s="103"/>
      <c r="K24" s="105"/>
    </row>
    <row r="25" spans="1:11" s="104" customFormat="1" ht="15" hidden="1" customHeight="1" outlineLevel="1" x14ac:dyDescent="0.25">
      <c r="A25" s="102">
        <v>12</v>
      </c>
      <c r="B25" s="404">
        <f>'табель ОВЗ обед'!B19</f>
        <v>0</v>
      </c>
      <c r="C25" s="404"/>
      <c r="D25" s="404"/>
      <c r="E25" s="404"/>
      <c r="F25" s="132">
        <f>'табель ОВЗ обед'!C19</f>
        <v>0</v>
      </c>
      <c r="G25" s="405">
        <f>'табель ОВЗ завтрак'!AR19+'табель ОВЗ обед'!AO19</f>
        <v>0</v>
      </c>
      <c r="H25" s="405"/>
      <c r="I25" s="405"/>
      <c r="J25" s="103"/>
      <c r="K25" s="105"/>
    </row>
    <row r="26" spans="1:11" s="104" customFormat="1" ht="15" hidden="1" customHeight="1" outlineLevel="1" x14ac:dyDescent="0.25">
      <c r="A26" s="102">
        <v>13</v>
      </c>
      <c r="B26" s="404">
        <f>'табель ОВЗ обед'!B20</f>
        <v>0</v>
      </c>
      <c r="C26" s="404"/>
      <c r="D26" s="404"/>
      <c r="E26" s="404"/>
      <c r="F26" s="132">
        <f>'табель ОВЗ обед'!C20</f>
        <v>0</v>
      </c>
      <c r="G26" s="405">
        <f>'табель ОВЗ завтрак'!AR20+'табель ОВЗ обед'!AO20</f>
        <v>0</v>
      </c>
      <c r="H26" s="405"/>
      <c r="I26" s="405"/>
      <c r="J26" s="103"/>
      <c r="K26" s="105"/>
    </row>
    <row r="27" spans="1:11" s="104" customFormat="1" ht="15" hidden="1" customHeight="1" outlineLevel="1" x14ac:dyDescent="0.25">
      <c r="A27" s="102">
        <v>14</v>
      </c>
      <c r="B27" s="404">
        <f>'табель ОВЗ обед'!B21</f>
        <v>0</v>
      </c>
      <c r="C27" s="404"/>
      <c r="D27" s="404"/>
      <c r="E27" s="404"/>
      <c r="F27" s="132">
        <f>'табель ОВЗ обед'!C21</f>
        <v>0</v>
      </c>
      <c r="G27" s="405">
        <f>'табель ОВЗ завтрак'!AR21+'табель ОВЗ обед'!AO21</f>
        <v>0</v>
      </c>
      <c r="H27" s="405"/>
      <c r="I27" s="405"/>
      <c r="J27" s="103"/>
      <c r="K27" s="105"/>
    </row>
    <row r="28" spans="1:11" s="104" customFormat="1" ht="15" hidden="1" customHeight="1" outlineLevel="1" x14ac:dyDescent="0.25">
      <c r="A28" s="102">
        <v>15</v>
      </c>
      <c r="B28" s="404">
        <f>'табель ОВЗ обед'!B22</f>
        <v>0</v>
      </c>
      <c r="C28" s="404"/>
      <c r="D28" s="404"/>
      <c r="E28" s="404"/>
      <c r="F28" s="132">
        <f>'табель ОВЗ обед'!C22</f>
        <v>0</v>
      </c>
      <c r="G28" s="405">
        <f>'табель ОВЗ завтрак'!AR22+'табель ОВЗ обед'!AO22</f>
        <v>0</v>
      </c>
      <c r="H28" s="405"/>
      <c r="I28" s="405"/>
      <c r="J28" s="103"/>
      <c r="K28" s="105"/>
    </row>
    <row r="29" spans="1:11" s="104" customFormat="1" ht="15" hidden="1" customHeight="1" outlineLevel="1" x14ac:dyDescent="0.25">
      <c r="A29" s="102">
        <v>16</v>
      </c>
      <c r="B29" s="404">
        <f>'табель ОВЗ обед'!B23</f>
        <v>0</v>
      </c>
      <c r="C29" s="404"/>
      <c r="D29" s="404"/>
      <c r="E29" s="404"/>
      <c r="F29" s="132">
        <f>'табель ОВЗ обед'!C23</f>
        <v>0</v>
      </c>
      <c r="G29" s="405">
        <f>'табель ОВЗ завтрак'!AR23+'табель ОВЗ обед'!AO23</f>
        <v>0</v>
      </c>
      <c r="H29" s="405"/>
      <c r="I29" s="405"/>
      <c r="J29" s="103"/>
      <c r="K29" s="105"/>
    </row>
    <row r="30" spans="1:11" s="104" customFormat="1" ht="15" hidden="1" customHeight="1" outlineLevel="1" x14ac:dyDescent="0.25">
      <c r="A30" s="102">
        <v>17</v>
      </c>
      <c r="B30" s="404">
        <f>'табель ОВЗ обед'!B24</f>
        <v>0</v>
      </c>
      <c r="C30" s="404"/>
      <c r="D30" s="404"/>
      <c r="E30" s="404"/>
      <c r="F30" s="132">
        <f>'табель ОВЗ обед'!C24</f>
        <v>0</v>
      </c>
      <c r="G30" s="405">
        <f>'табель ОВЗ завтрак'!AR24+'табель ОВЗ обед'!AO24</f>
        <v>0</v>
      </c>
      <c r="H30" s="405"/>
      <c r="I30" s="405"/>
      <c r="J30" s="95"/>
      <c r="K30" s="105"/>
    </row>
    <row r="31" spans="1:11" s="104" customFormat="1" ht="15" hidden="1" customHeight="1" outlineLevel="1" x14ac:dyDescent="0.25">
      <c r="A31" s="102">
        <v>18</v>
      </c>
      <c r="B31" s="404">
        <f>'табель ОВЗ обед'!B25</f>
        <v>0</v>
      </c>
      <c r="C31" s="404"/>
      <c r="D31" s="404"/>
      <c r="E31" s="404"/>
      <c r="F31" s="132">
        <f>'табель ОВЗ обед'!C25</f>
        <v>0</v>
      </c>
      <c r="G31" s="405">
        <f>'табель ОВЗ завтрак'!AR25+'табель ОВЗ обед'!AO25</f>
        <v>0</v>
      </c>
      <c r="H31" s="405"/>
      <c r="I31" s="405"/>
      <c r="J31" s="95"/>
      <c r="K31" s="105"/>
    </row>
    <row r="32" spans="1:11" s="104" customFormat="1" ht="15" hidden="1" customHeight="1" outlineLevel="1" x14ac:dyDescent="0.25">
      <c r="A32" s="102">
        <v>19</v>
      </c>
      <c r="B32" s="404">
        <f>'табель ОВЗ обед'!B26</f>
        <v>0</v>
      </c>
      <c r="C32" s="404"/>
      <c r="D32" s="404"/>
      <c r="E32" s="404"/>
      <c r="F32" s="132">
        <f>'табель ОВЗ обед'!C26</f>
        <v>0</v>
      </c>
      <c r="G32" s="405">
        <f>'табель ОВЗ завтрак'!AR26+'табель ОВЗ обед'!AO26</f>
        <v>0</v>
      </c>
      <c r="H32" s="405"/>
      <c r="I32" s="405"/>
      <c r="J32" s="95"/>
      <c r="K32" s="105"/>
    </row>
    <row r="33" spans="1:11" s="104" customFormat="1" ht="15" hidden="1" customHeight="1" outlineLevel="1" x14ac:dyDescent="0.25">
      <c r="A33" s="102">
        <v>20</v>
      </c>
      <c r="B33" s="404">
        <f>'табель ОВЗ обед'!B27</f>
        <v>0</v>
      </c>
      <c r="C33" s="404"/>
      <c r="D33" s="404"/>
      <c r="E33" s="404"/>
      <c r="F33" s="132">
        <f>'табель ОВЗ обед'!C27</f>
        <v>0</v>
      </c>
      <c r="G33" s="405">
        <f>'табель ОВЗ завтрак'!AR27+'табель ОВЗ обед'!AO27</f>
        <v>0</v>
      </c>
      <c r="H33" s="405"/>
      <c r="I33" s="405"/>
      <c r="J33" s="103"/>
      <c r="K33" s="105"/>
    </row>
    <row r="34" spans="1:11" s="104" customFormat="1" ht="15" hidden="1" customHeight="1" outlineLevel="1" x14ac:dyDescent="0.25">
      <c r="A34" s="102">
        <v>21</v>
      </c>
      <c r="B34" s="404">
        <f>'табель ОВЗ обед'!B28</f>
        <v>0</v>
      </c>
      <c r="C34" s="404"/>
      <c r="D34" s="404"/>
      <c r="E34" s="404"/>
      <c r="F34" s="132">
        <f>'табель ОВЗ обед'!C28</f>
        <v>0</v>
      </c>
      <c r="G34" s="405">
        <f>'табель ОВЗ завтрак'!AR28+'табель ОВЗ обед'!AO28</f>
        <v>0</v>
      </c>
      <c r="H34" s="405"/>
      <c r="I34" s="405"/>
      <c r="J34" s="103"/>
      <c r="K34" s="105"/>
    </row>
    <row r="35" spans="1:11" s="104" customFormat="1" ht="15" hidden="1" customHeight="1" outlineLevel="1" x14ac:dyDescent="0.25">
      <c r="A35" s="102">
        <v>22</v>
      </c>
      <c r="B35" s="404">
        <f>'табель ОВЗ обед'!B29</f>
        <v>0</v>
      </c>
      <c r="C35" s="404"/>
      <c r="D35" s="404"/>
      <c r="E35" s="404"/>
      <c r="F35" s="132">
        <f>'табель ОВЗ обед'!C29</f>
        <v>0</v>
      </c>
      <c r="G35" s="405">
        <f>'табель ОВЗ завтрак'!AR29+'табель ОВЗ обед'!AO29</f>
        <v>0</v>
      </c>
      <c r="H35" s="405"/>
      <c r="I35" s="405"/>
      <c r="J35" s="103"/>
      <c r="K35" s="105"/>
    </row>
    <row r="36" spans="1:11" s="104" customFormat="1" ht="15" hidden="1" customHeight="1" outlineLevel="1" x14ac:dyDescent="0.25">
      <c r="A36" s="102">
        <v>23</v>
      </c>
      <c r="B36" s="404">
        <f>'табель ОВЗ обед'!B30</f>
        <v>0</v>
      </c>
      <c r="C36" s="404"/>
      <c r="D36" s="404"/>
      <c r="E36" s="404"/>
      <c r="F36" s="132">
        <f>'табель ОВЗ обед'!C30</f>
        <v>0</v>
      </c>
      <c r="G36" s="405">
        <f>'табель ОВЗ завтрак'!AR30+'табель ОВЗ обед'!AO30</f>
        <v>0</v>
      </c>
      <c r="H36" s="405"/>
      <c r="I36" s="405"/>
      <c r="J36" s="103"/>
      <c r="K36" s="105"/>
    </row>
    <row r="37" spans="1:11" s="104" customFormat="1" ht="15" hidden="1" customHeight="1" outlineLevel="1" x14ac:dyDescent="0.25">
      <c r="A37" s="102">
        <v>24</v>
      </c>
      <c r="B37" s="404">
        <f>'табель ОВЗ обед'!B31</f>
        <v>0</v>
      </c>
      <c r="C37" s="404"/>
      <c r="D37" s="404"/>
      <c r="E37" s="404"/>
      <c r="F37" s="132">
        <f>'табель ОВЗ обед'!C31</f>
        <v>0</v>
      </c>
      <c r="G37" s="405">
        <f>'табель ОВЗ завтрак'!AR31+'табель ОВЗ обед'!AO31</f>
        <v>0</v>
      </c>
      <c r="H37" s="405"/>
      <c r="I37" s="405"/>
      <c r="J37" s="103"/>
      <c r="K37" s="105"/>
    </row>
    <row r="38" spans="1:11" s="104" customFormat="1" ht="15" hidden="1" customHeight="1" outlineLevel="1" x14ac:dyDescent="0.25">
      <c r="A38" s="102">
        <v>25</v>
      </c>
      <c r="B38" s="404">
        <f>'табель ОВЗ обед'!B32</f>
        <v>0</v>
      </c>
      <c r="C38" s="404"/>
      <c r="D38" s="404"/>
      <c r="E38" s="404"/>
      <c r="F38" s="132">
        <f>'табель ОВЗ обед'!C32</f>
        <v>0</v>
      </c>
      <c r="G38" s="405">
        <f>'табель ОВЗ завтрак'!AR32+'табель ОВЗ обед'!AO32</f>
        <v>0</v>
      </c>
      <c r="H38" s="405"/>
      <c r="I38" s="405"/>
      <c r="J38" s="103"/>
      <c r="K38" s="105"/>
    </row>
    <row r="39" spans="1:11" s="104" customFormat="1" ht="15" hidden="1" customHeight="1" outlineLevel="1" x14ac:dyDescent="0.25">
      <c r="A39" s="102">
        <v>26</v>
      </c>
      <c r="B39" s="404">
        <f>'табель ОВЗ обед'!B33</f>
        <v>0</v>
      </c>
      <c r="C39" s="404"/>
      <c r="D39" s="404"/>
      <c r="E39" s="404"/>
      <c r="F39" s="132">
        <f>'табель ОВЗ обед'!C33</f>
        <v>0</v>
      </c>
      <c r="G39" s="405">
        <f>'табель ОВЗ завтрак'!AR33+'табель ОВЗ обед'!AO33</f>
        <v>0</v>
      </c>
      <c r="H39" s="405"/>
      <c r="I39" s="405"/>
      <c r="J39" s="103"/>
      <c r="K39" s="105"/>
    </row>
    <row r="40" spans="1:11" s="104" customFormat="1" ht="15" hidden="1" customHeight="1" outlineLevel="1" x14ac:dyDescent="0.25">
      <c r="A40" s="102">
        <v>27</v>
      </c>
      <c r="B40" s="404">
        <f>'табель ОВЗ обед'!B34</f>
        <v>0</v>
      </c>
      <c r="C40" s="404"/>
      <c r="D40" s="404"/>
      <c r="E40" s="404"/>
      <c r="F40" s="132">
        <f>'табель ОВЗ обед'!C34</f>
        <v>0</v>
      </c>
      <c r="G40" s="405">
        <f>'табель ОВЗ завтрак'!AR34+'табель ОВЗ обед'!AO34</f>
        <v>0</v>
      </c>
      <c r="H40" s="405"/>
      <c r="I40" s="405"/>
      <c r="J40" s="95"/>
      <c r="K40" s="105"/>
    </row>
    <row r="41" spans="1:11" s="104" customFormat="1" ht="15" hidden="1" customHeight="1" outlineLevel="1" x14ac:dyDescent="0.25">
      <c r="A41" s="102">
        <v>28</v>
      </c>
      <c r="B41" s="404">
        <f>'табель ОВЗ обед'!B35</f>
        <v>0</v>
      </c>
      <c r="C41" s="404"/>
      <c r="D41" s="404"/>
      <c r="E41" s="404"/>
      <c r="F41" s="132">
        <f>'табель ОВЗ обед'!C35</f>
        <v>0</v>
      </c>
      <c r="G41" s="405">
        <f>'табель ОВЗ завтрак'!AR35+'табель ОВЗ обед'!AO35</f>
        <v>0</v>
      </c>
      <c r="H41" s="405"/>
      <c r="I41" s="405"/>
      <c r="J41" s="95"/>
      <c r="K41" s="105"/>
    </row>
    <row r="42" spans="1:11" s="104" customFormat="1" ht="15" hidden="1" customHeight="1" outlineLevel="1" x14ac:dyDescent="0.25">
      <c r="A42" s="102">
        <v>29</v>
      </c>
      <c r="B42" s="404">
        <f>'табель ОВЗ обед'!B36</f>
        <v>0</v>
      </c>
      <c r="C42" s="404"/>
      <c r="D42" s="404"/>
      <c r="E42" s="404"/>
      <c r="F42" s="132">
        <f>'табель ОВЗ обед'!C36</f>
        <v>0</v>
      </c>
      <c r="G42" s="405">
        <f>'табель ОВЗ завтрак'!AR36+'табель ОВЗ обед'!AO36</f>
        <v>0</v>
      </c>
      <c r="H42" s="405"/>
      <c r="I42" s="405"/>
      <c r="J42" s="95"/>
      <c r="K42" s="105"/>
    </row>
    <row r="43" spans="1:11" s="104" customFormat="1" ht="15" hidden="1" customHeight="1" outlineLevel="1" x14ac:dyDescent="0.25">
      <c r="A43" s="102">
        <v>30</v>
      </c>
      <c r="B43" s="404">
        <f>'табель ОВЗ обед'!B37</f>
        <v>0</v>
      </c>
      <c r="C43" s="404"/>
      <c r="D43" s="404"/>
      <c r="E43" s="404"/>
      <c r="F43" s="132">
        <f>'табель ОВЗ обед'!C37</f>
        <v>0</v>
      </c>
      <c r="G43" s="405">
        <f>'табель ОВЗ завтрак'!AR37+'табель ОВЗ обед'!AO37</f>
        <v>0</v>
      </c>
      <c r="H43" s="405"/>
      <c r="I43" s="405"/>
      <c r="J43" s="103"/>
      <c r="K43" s="105"/>
    </row>
    <row r="44" spans="1:11" s="104" customFormat="1" ht="15" hidden="1" customHeight="1" outlineLevel="1" x14ac:dyDescent="0.25">
      <c r="A44" s="102">
        <v>31</v>
      </c>
      <c r="B44" s="404">
        <f>'табель ОВЗ обед'!B38</f>
        <v>0</v>
      </c>
      <c r="C44" s="404"/>
      <c r="D44" s="404"/>
      <c r="E44" s="404"/>
      <c r="F44" s="132">
        <f>'табель ОВЗ обед'!C38</f>
        <v>0</v>
      </c>
      <c r="G44" s="405">
        <f>'табель ОВЗ завтрак'!AR38+'табель ОВЗ обед'!AO38</f>
        <v>0</v>
      </c>
      <c r="H44" s="405"/>
      <c r="I44" s="405"/>
      <c r="J44" s="103"/>
      <c r="K44" s="105"/>
    </row>
    <row r="45" spans="1:11" s="104" customFormat="1" ht="15" hidden="1" customHeight="1" outlineLevel="1" x14ac:dyDescent="0.25">
      <c r="A45" s="102">
        <v>32</v>
      </c>
      <c r="B45" s="404">
        <f>'табель ОВЗ обед'!B39</f>
        <v>0</v>
      </c>
      <c r="C45" s="404"/>
      <c r="D45" s="404"/>
      <c r="E45" s="404"/>
      <c r="F45" s="132">
        <f>'табель ОВЗ обед'!C39</f>
        <v>0</v>
      </c>
      <c r="G45" s="405">
        <f>'табель ОВЗ завтрак'!AR39+'табель ОВЗ обед'!AO39</f>
        <v>0</v>
      </c>
      <c r="H45" s="405"/>
      <c r="I45" s="405"/>
      <c r="J45" s="103"/>
      <c r="K45" s="105"/>
    </row>
    <row r="46" spans="1:11" s="104" customFormat="1" ht="15" hidden="1" customHeight="1" outlineLevel="1" x14ac:dyDescent="0.25">
      <c r="A46" s="102">
        <v>33</v>
      </c>
      <c r="B46" s="404">
        <f>'табель ОВЗ обед'!B40</f>
        <v>0</v>
      </c>
      <c r="C46" s="404"/>
      <c r="D46" s="404"/>
      <c r="E46" s="404"/>
      <c r="F46" s="132">
        <f>'табель ОВЗ обед'!C40</f>
        <v>0</v>
      </c>
      <c r="G46" s="405">
        <f>'табель ОВЗ завтрак'!AR40+'табель ОВЗ обед'!AO40</f>
        <v>0</v>
      </c>
      <c r="H46" s="405"/>
      <c r="I46" s="405"/>
      <c r="J46" s="103"/>
      <c r="K46" s="105"/>
    </row>
    <row r="47" spans="1:11" s="104" customFormat="1" ht="15" hidden="1" customHeight="1" outlineLevel="1" x14ac:dyDescent="0.25">
      <c r="A47" s="102">
        <v>34</v>
      </c>
      <c r="B47" s="404">
        <f>'табель ОВЗ обед'!B41</f>
        <v>0</v>
      </c>
      <c r="C47" s="404"/>
      <c r="D47" s="404"/>
      <c r="E47" s="404"/>
      <c r="F47" s="132">
        <f>'табель ОВЗ обед'!C41</f>
        <v>0</v>
      </c>
      <c r="G47" s="405">
        <f>'табель ОВЗ завтрак'!AR41+'табель ОВЗ обед'!AO41</f>
        <v>0</v>
      </c>
      <c r="H47" s="405"/>
      <c r="I47" s="405"/>
      <c r="J47" s="103"/>
      <c r="K47" s="105"/>
    </row>
    <row r="48" spans="1:11" s="104" customFormat="1" ht="15" hidden="1" customHeight="1" outlineLevel="1" x14ac:dyDescent="0.25">
      <c r="A48" s="102">
        <v>35</v>
      </c>
      <c r="B48" s="404">
        <f>'табель ОВЗ обед'!B42</f>
        <v>0</v>
      </c>
      <c r="C48" s="404"/>
      <c r="D48" s="404"/>
      <c r="E48" s="404"/>
      <c r="F48" s="132">
        <f>'табель ОВЗ обед'!C42</f>
        <v>0</v>
      </c>
      <c r="G48" s="405">
        <f>'табель ОВЗ завтрак'!AR42+'табель ОВЗ обед'!AO42</f>
        <v>0</v>
      </c>
      <c r="H48" s="405"/>
      <c r="I48" s="405"/>
      <c r="J48" s="103"/>
      <c r="K48" s="105"/>
    </row>
    <row r="49" spans="1:11" s="104" customFormat="1" ht="15" hidden="1" customHeight="1" x14ac:dyDescent="0.25">
      <c r="A49" s="102">
        <v>36</v>
      </c>
      <c r="B49" s="402">
        <f>'табель малоимущих'!B44</f>
        <v>0</v>
      </c>
      <c r="C49" s="402" t="s">
        <v>7</v>
      </c>
      <c r="D49" s="402" t="s">
        <v>7</v>
      </c>
      <c r="E49" s="402" t="s">
        <v>7</v>
      </c>
      <c r="F49" s="132">
        <f>'табель ОВЗ обед'!C44</f>
        <v>0</v>
      </c>
      <c r="G49" s="405"/>
      <c r="H49" s="405"/>
      <c r="I49" s="405"/>
      <c r="J49" s="103"/>
      <c r="K49" s="105"/>
    </row>
    <row r="50" spans="1:11" s="104" customFormat="1" ht="15" hidden="1" customHeight="1" x14ac:dyDescent="0.25">
      <c r="A50" s="102">
        <v>37</v>
      </c>
      <c r="B50" s="402">
        <f>'табель малоимущих'!B44</f>
        <v>0</v>
      </c>
      <c r="C50" s="402" t="s">
        <v>7</v>
      </c>
      <c r="D50" s="402" t="s">
        <v>7</v>
      </c>
      <c r="E50" s="402" t="s">
        <v>7</v>
      </c>
      <c r="F50" s="132">
        <f>'табель ОВЗ обед'!C45</f>
        <v>0</v>
      </c>
      <c r="G50" s="405"/>
      <c r="H50" s="405"/>
      <c r="I50" s="405"/>
      <c r="J50" s="103"/>
      <c r="K50" s="105"/>
    </row>
    <row r="51" spans="1:11" s="104" customFormat="1" ht="15" hidden="1" customHeight="1" x14ac:dyDescent="0.25">
      <c r="A51" s="102">
        <v>38</v>
      </c>
      <c r="B51" s="402">
        <f>'табель малоимущих'!B46</f>
        <v>0</v>
      </c>
      <c r="C51" s="402" t="s">
        <v>7</v>
      </c>
      <c r="D51" s="402" t="s">
        <v>7</v>
      </c>
      <c r="E51" s="402" t="s">
        <v>7</v>
      </c>
      <c r="F51" s="132">
        <f>'табель ОВЗ обед'!C46</f>
        <v>0</v>
      </c>
      <c r="G51" s="405">
        <f>'табель ОВЗ завтрак'!AR46+'табель ОВЗ обед'!AO46</f>
        <v>0</v>
      </c>
      <c r="H51" s="405"/>
      <c r="I51" s="405"/>
      <c r="J51" s="103"/>
      <c r="K51" s="105"/>
    </row>
    <row r="52" spans="1:11" s="104" customFormat="1" ht="15" hidden="1" customHeight="1" x14ac:dyDescent="0.25">
      <c r="A52" s="102">
        <v>39</v>
      </c>
      <c r="B52" s="402">
        <f>'табель малоимущих'!B45</f>
        <v>0</v>
      </c>
      <c r="C52" s="402" t="s">
        <v>7</v>
      </c>
      <c r="D52" s="402" t="s">
        <v>7</v>
      </c>
      <c r="E52" s="402" t="s">
        <v>7</v>
      </c>
      <c r="F52" s="132">
        <f>'табель ОВЗ обед'!C47</f>
        <v>0</v>
      </c>
      <c r="G52" s="405">
        <f>'табель ОВЗ завтрак'!AR47+'табель ОВЗ обед'!AO47</f>
        <v>0</v>
      </c>
      <c r="H52" s="405"/>
      <c r="I52" s="405"/>
      <c r="J52" s="103"/>
      <c r="K52" s="105"/>
    </row>
    <row r="53" spans="1:11" s="104" customFormat="1" ht="15" hidden="1" customHeight="1" x14ac:dyDescent="0.25">
      <c r="A53" s="102">
        <v>40</v>
      </c>
      <c r="B53" s="402">
        <f>'табель малоимущих'!B46</f>
        <v>0</v>
      </c>
      <c r="C53" s="402" t="s">
        <v>7</v>
      </c>
      <c r="D53" s="402" t="s">
        <v>7</v>
      </c>
      <c r="E53" s="402" t="s">
        <v>7</v>
      </c>
      <c r="F53" s="132">
        <f>'табель ОВЗ обед'!C48</f>
        <v>0</v>
      </c>
      <c r="G53" s="405">
        <f>'табель ОВЗ завтрак'!AR48+'табель ОВЗ обед'!AO48</f>
        <v>0</v>
      </c>
      <c r="H53" s="405"/>
      <c r="I53" s="405"/>
      <c r="J53" s="95"/>
      <c r="K53" s="105"/>
    </row>
    <row r="54" spans="1:11" s="104" customFormat="1" ht="15" hidden="1" customHeight="1" collapsed="1" x14ac:dyDescent="0.25">
      <c r="A54" s="102">
        <v>41</v>
      </c>
      <c r="B54" s="402">
        <f>'табель малоимущих'!B47</f>
        <v>0</v>
      </c>
      <c r="C54" s="402" t="s">
        <v>7</v>
      </c>
      <c r="D54" s="402" t="s">
        <v>7</v>
      </c>
      <c r="E54" s="402" t="s">
        <v>7</v>
      </c>
      <c r="F54" s="132">
        <f>'табель ОВЗ обед'!C49</f>
        <v>0</v>
      </c>
      <c r="G54" s="405">
        <f>'табель ОВЗ завтрак'!AR49+'табель ОВЗ обед'!AO49</f>
        <v>0</v>
      </c>
      <c r="H54" s="405"/>
      <c r="I54" s="405"/>
      <c r="J54" s="95"/>
      <c r="K54" s="105"/>
    </row>
    <row r="55" spans="1:11" s="104" customFormat="1" ht="15" hidden="1" customHeight="1" x14ac:dyDescent="0.25">
      <c r="A55" s="102">
        <v>42</v>
      </c>
      <c r="B55" s="402">
        <f>'табель малоимущих'!B44</f>
        <v>0</v>
      </c>
      <c r="C55" s="402" t="s">
        <v>7</v>
      </c>
      <c r="D55" s="402" t="s">
        <v>7</v>
      </c>
      <c r="E55" s="402" t="s">
        <v>7</v>
      </c>
      <c r="F55" s="132">
        <f>'табель ОВЗ обед'!C50</f>
        <v>0</v>
      </c>
      <c r="G55" s="405"/>
      <c r="H55" s="405"/>
      <c r="I55" s="405"/>
      <c r="J55" s="103"/>
      <c r="K55" s="105"/>
    </row>
    <row r="56" spans="1:11" s="104" customFormat="1" ht="15" hidden="1" customHeight="1" collapsed="1" x14ac:dyDescent="0.25">
      <c r="A56" s="102">
        <v>43</v>
      </c>
      <c r="B56" s="402">
        <f>'табель малоимущих'!B45</f>
        <v>0</v>
      </c>
      <c r="C56" s="402" t="s">
        <v>7</v>
      </c>
      <c r="D56" s="402" t="s">
        <v>7</v>
      </c>
      <c r="E56" s="402" t="s">
        <v>7</v>
      </c>
      <c r="F56" s="132">
        <f>'табель ОВЗ обед'!C51</f>
        <v>0</v>
      </c>
      <c r="G56" s="405">
        <f>'табель ОВЗ завтрак'!AR51+'табель ОВЗ обед'!AO51</f>
        <v>0</v>
      </c>
      <c r="H56" s="405"/>
      <c r="I56" s="405"/>
      <c r="J56" s="103"/>
      <c r="K56" s="105"/>
    </row>
    <row r="57" spans="1:11" s="104" customFormat="1" ht="15" hidden="1" customHeight="1" collapsed="1" x14ac:dyDescent="0.25">
      <c r="A57" s="102">
        <v>44</v>
      </c>
      <c r="B57" s="402">
        <f>'табель малоимущих'!B44</f>
        <v>0</v>
      </c>
      <c r="C57" s="403" t="s">
        <v>7</v>
      </c>
      <c r="D57" s="403" t="s">
        <v>7</v>
      </c>
      <c r="E57" s="403" t="s">
        <v>7</v>
      </c>
      <c r="F57" s="132">
        <f>'табель ОВЗ обед'!C52</f>
        <v>0</v>
      </c>
      <c r="G57" s="405">
        <f>'табель ОВЗ завтрак'!AR52+'табель ОВЗ обед'!AO52</f>
        <v>0</v>
      </c>
      <c r="H57" s="405"/>
      <c r="I57" s="405"/>
      <c r="J57" s="103"/>
      <c r="K57" s="105"/>
    </row>
    <row r="58" spans="1:11" s="104" customFormat="1" ht="15" hidden="1" customHeight="1" x14ac:dyDescent="0.25">
      <c r="A58" s="102">
        <v>45</v>
      </c>
      <c r="B58" s="402">
        <f>'табель малоимущих'!B45</f>
        <v>0</v>
      </c>
      <c r="C58" s="403" t="s">
        <v>7</v>
      </c>
      <c r="D58" s="403" t="s">
        <v>7</v>
      </c>
      <c r="E58" s="403" t="s">
        <v>7</v>
      </c>
      <c r="F58" s="132">
        <f>'табель ОВЗ обед'!C53</f>
        <v>0</v>
      </c>
      <c r="G58" s="405">
        <f>'табель ОВЗ завтрак'!AR53+'табель ОВЗ обед'!AO53</f>
        <v>0</v>
      </c>
      <c r="H58" s="405"/>
      <c r="I58" s="405"/>
      <c r="J58" s="95"/>
      <c r="K58" s="105"/>
    </row>
    <row r="59" spans="1:11" s="104" customFormat="1" ht="15" hidden="1" customHeight="1" x14ac:dyDescent="0.25">
      <c r="A59" s="102">
        <v>46</v>
      </c>
      <c r="B59" s="402">
        <f>'табель малоимущих'!B44</f>
        <v>0</v>
      </c>
      <c r="C59" s="403" t="s">
        <v>7</v>
      </c>
      <c r="D59" s="403" t="s">
        <v>7</v>
      </c>
      <c r="E59" s="403" t="s">
        <v>7</v>
      </c>
      <c r="F59" s="132">
        <f>'табель ОВЗ обед'!C54</f>
        <v>0</v>
      </c>
      <c r="G59" s="405">
        <f>'табель ОВЗ завтрак'!AR54+'табель ОВЗ обед'!AO54</f>
        <v>0</v>
      </c>
      <c r="H59" s="405"/>
      <c r="I59" s="405"/>
      <c r="J59" s="103"/>
      <c r="K59" s="105"/>
    </row>
    <row r="60" spans="1:11" s="104" customFormat="1" ht="15" hidden="1" customHeight="1" x14ac:dyDescent="0.25">
      <c r="A60" s="102">
        <v>47</v>
      </c>
      <c r="B60" s="402">
        <f>'табель малоимущих'!B45</f>
        <v>0</v>
      </c>
      <c r="C60" s="403" t="s">
        <v>7</v>
      </c>
      <c r="D60" s="403" t="s">
        <v>7</v>
      </c>
      <c r="E60" s="403" t="s">
        <v>7</v>
      </c>
      <c r="F60" s="132">
        <f>'табель ОВЗ обед'!C55</f>
        <v>0</v>
      </c>
      <c r="G60" s="405">
        <f>'табель ОВЗ завтрак'!AR55+'табель ОВЗ обед'!AO55</f>
        <v>0</v>
      </c>
      <c r="H60" s="405"/>
      <c r="I60" s="405"/>
      <c r="J60" s="103"/>
      <c r="K60" s="105"/>
    </row>
    <row r="61" spans="1:11" s="104" customFormat="1" ht="15" hidden="1" customHeight="1" x14ac:dyDescent="0.25">
      <c r="A61" s="102">
        <v>48</v>
      </c>
      <c r="B61" s="402">
        <f>'табель малоимущих'!B47</f>
        <v>0</v>
      </c>
      <c r="C61" s="403" t="s">
        <v>7</v>
      </c>
      <c r="D61" s="403" t="s">
        <v>7</v>
      </c>
      <c r="E61" s="403" t="s">
        <v>7</v>
      </c>
      <c r="F61" s="132">
        <f>'табель ОВЗ обед'!C56</f>
        <v>0</v>
      </c>
      <c r="G61" s="405">
        <f>'табель ОВЗ завтрак'!AR56+'табель ОВЗ обед'!AO56</f>
        <v>0</v>
      </c>
      <c r="H61" s="405"/>
      <c r="I61" s="405"/>
      <c r="J61" s="103"/>
      <c r="K61" s="105"/>
    </row>
    <row r="62" spans="1:11" s="104" customFormat="1" ht="15" hidden="1" customHeight="1" x14ac:dyDescent="0.25">
      <c r="A62" s="102">
        <v>49</v>
      </c>
      <c r="B62" s="402">
        <f>'табель малоимущих'!B48</f>
        <v>0</v>
      </c>
      <c r="C62" s="403" t="s">
        <v>7</v>
      </c>
      <c r="D62" s="403" t="s">
        <v>7</v>
      </c>
      <c r="E62" s="403" t="s">
        <v>7</v>
      </c>
      <c r="F62" s="132">
        <f>'табель ОВЗ обед'!C57</f>
        <v>0</v>
      </c>
      <c r="G62" s="405">
        <f>'табель ОВЗ завтрак'!AR57+'табель ОВЗ обед'!AO57</f>
        <v>0</v>
      </c>
      <c r="H62" s="405"/>
      <c r="I62" s="405"/>
      <c r="J62" s="103"/>
      <c r="K62" s="105"/>
    </row>
    <row r="63" spans="1:11" s="104" customFormat="1" ht="15" hidden="1" customHeight="1" x14ac:dyDescent="0.25">
      <c r="A63" s="102">
        <v>50</v>
      </c>
      <c r="B63" s="402">
        <f>'табель малоимущих'!B49</f>
        <v>0</v>
      </c>
      <c r="C63" s="403" t="s">
        <v>7</v>
      </c>
      <c r="D63" s="403" t="s">
        <v>7</v>
      </c>
      <c r="E63" s="403" t="s">
        <v>7</v>
      </c>
      <c r="F63" s="132">
        <f>'табель ОВЗ обед'!C58</f>
        <v>0</v>
      </c>
      <c r="G63" s="405">
        <f>'табель ОВЗ завтрак'!AR58+'табель ОВЗ обед'!AO58</f>
        <v>0</v>
      </c>
      <c r="H63" s="405"/>
      <c r="I63" s="405"/>
      <c r="J63" s="103"/>
      <c r="K63" s="105"/>
    </row>
    <row r="64" spans="1:11" s="104" customFormat="1" ht="15" hidden="1" customHeight="1" x14ac:dyDescent="0.25">
      <c r="A64" s="102">
        <v>51</v>
      </c>
      <c r="B64" s="402">
        <f>'табель малоимущих'!B50</f>
        <v>0</v>
      </c>
      <c r="C64" s="403" t="s">
        <v>7</v>
      </c>
      <c r="D64" s="403" t="s">
        <v>7</v>
      </c>
      <c r="E64" s="403" t="s">
        <v>7</v>
      </c>
      <c r="F64" s="132">
        <f>'табель ОВЗ обед'!C59</f>
        <v>0</v>
      </c>
      <c r="G64" s="405">
        <f>'табель ОВЗ завтрак'!AR59+'табель ОВЗ обед'!AO59</f>
        <v>0</v>
      </c>
      <c r="H64" s="405"/>
      <c r="I64" s="405"/>
      <c r="J64" s="103"/>
      <c r="K64" s="105"/>
    </row>
    <row r="65" spans="1:11" s="104" customFormat="1" ht="15" hidden="1" customHeight="1" x14ac:dyDescent="0.25">
      <c r="A65" s="102">
        <v>52</v>
      </c>
      <c r="B65" s="402">
        <f>'табель малоимущих'!B51</f>
        <v>0</v>
      </c>
      <c r="C65" s="403" t="s">
        <v>7</v>
      </c>
      <c r="D65" s="403" t="s">
        <v>7</v>
      </c>
      <c r="E65" s="403" t="s">
        <v>7</v>
      </c>
      <c r="F65" s="132">
        <f>'табель ОВЗ обед'!C60</f>
        <v>0</v>
      </c>
      <c r="G65" s="405">
        <f>'табель ОВЗ завтрак'!AR60+'табель ОВЗ обед'!AO60</f>
        <v>0</v>
      </c>
      <c r="H65" s="405"/>
      <c r="I65" s="405"/>
      <c r="J65" s="103"/>
      <c r="K65" s="105"/>
    </row>
    <row r="66" spans="1:11" s="104" customFormat="1" ht="15" hidden="1" customHeight="1" x14ac:dyDescent="0.25">
      <c r="A66" s="102">
        <v>53</v>
      </c>
      <c r="B66" s="402">
        <f>'табель малоимущих'!B52</f>
        <v>0</v>
      </c>
      <c r="C66" s="403" t="s">
        <v>7</v>
      </c>
      <c r="D66" s="403" t="s">
        <v>7</v>
      </c>
      <c r="E66" s="403" t="s">
        <v>7</v>
      </c>
      <c r="F66" s="132">
        <f>'табель ОВЗ обед'!C61</f>
        <v>0</v>
      </c>
      <c r="G66" s="405">
        <f>'табель ОВЗ завтрак'!AR61+'табель ОВЗ обед'!AO61</f>
        <v>0</v>
      </c>
      <c r="H66" s="405"/>
      <c r="I66" s="405"/>
      <c r="J66" s="103"/>
      <c r="K66" s="105"/>
    </row>
    <row r="67" spans="1:11" s="104" customFormat="1" ht="15" hidden="1" customHeight="1" x14ac:dyDescent="0.25">
      <c r="A67" s="102">
        <v>54</v>
      </c>
      <c r="B67" s="402">
        <f>'табель малоимущих'!B53</f>
        <v>0</v>
      </c>
      <c r="C67" s="403" t="s">
        <v>7</v>
      </c>
      <c r="D67" s="403" t="s">
        <v>7</v>
      </c>
      <c r="E67" s="403" t="s">
        <v>7</v>
      </c>
      <c r="F67" s="132">
        <f>'табель ОВЗ обед'!C62</f>
        <v>0</v>
      </c>
      <c r="G67" s="405">
        <f>'табель ОВЗ завтрак'!AR62+'табель ОВЗ обед'!AO62</f>
        <v>0</v>
      </c>
      <c r="H67" s="405"/>
      <c r="I67" s="405"/>
      <c r="J67" s="103"/>
      <c r="K67" s="105"/>
    </row>
    <row r="68" spans="1:11" s="104" customFormat="1" ht="15" hidden="1" customHeight="1" x14ac:dyDescent="0.25">
      <c r="A68" s="102">
        <v>55</v>
      </c>
      <c r="B68" s="402">
        <f>'табель малоимущих'!B54</f>
        <v>0</v>
      </c>
      <c r="C68" s="403" t="s">
        <v>7</v>
      </c>
      <c r="D68" s="403" t="s">
        <v>7</v>
      </c>
      <c r="E68" s="403" t="s">
        <v>7</v>
      </c>
      <c r="F68" s="132">
        <f>'табель ОВЗ обед'!C63</f>
        <v>0</v>
      </c>
      <c r="G68" s="405">
        <f>'табель ОВЗ завтрак'!AR63+'табель ОВЗ обед'!AO63</f>
        <v>0</v>
      </c>
      <c r="H68" s="405"/>
      <c r="I68" s="405"/>
      <c r="J68" s="103"/>
      <c r="K68" s="105"/>
    </row>
    <row r="69" spans="1:11" s="104" customFormat="1" ht="15" hidden="1" customHeight="1" x14ac:dyDescent="0.25">
      <c r="A69" s="102">
        <v>56</v>
      </c>
      <c r="B69" s="402">
        <f>'табель малоимущих'!B55</f>
        <v>0</v>
      </c>
      <c r="C69" s="403" t="s">
        <v>7</v>
      </c>
      <c r="D69" s="403" t="s">
        <v>7</v>
      </c>
      <c r="E69" s="403" t="s">
        <v>7</v>
      </c>
      <c r="F69" s="132">
        <f>'табель ОВЗ обед'!C64</f>
        <v>0</v>
      </c>
      <c r="G69" s="405">
        <f>'табель ОВЗ завтрак'!AR64+'табель ОВЗ обед'!AO64</f>
        <v>0</v>
      </c>
      <c r="H69" s="405"/>
      <c r="I69" s="405"/>
      <c r="J69" s="103"/>
      <c r="K69" s="105"/>
    </row>
    <row r="70" spans="1:11" s="104" customFormat="1" ht="15" hidden="1" customHeight="1" x14ac:dyDescent="0.25">
      <c r="A70" s="102">
        <v>57</v>
      </c>
      <c r="B70" s="402">
        <f>'табель малоимущих'!B56</f>
        <v>0</v>
      </c>
      <c r="C70" s="403" t="s">
        <v>7</v>
      </c>
      <c r="D70" s="403" t="s">
        <v>7</v>
      </c>
      <c r="E70" s="403" t="s">
        <v>7</v>
      </c>
      <c r="F70" s="132">
        <f>'табель ОВЗ обед'!C65</f>
        <v>0</v>
      </c>
      <c r="G70" s="405">
        <f>'табель ОВЗ завтрак'!AR65+'табель ОВЗ обед'!AO65</f>
        <v>0</v>
      </c>
      <c r="H70" s="405"/>
      <c r="I70" s="405"/>
      <c r="J70" s="103"/>
      <c r="K70" s="105"/>
    </row>
    <row r="71" spans="1:11" s="104" customFormat="1" ht="15" hidden="1" customHeight="1" x14ac:dyDescent="0.25">
      <c r="A71" s="102">
        <v>58</v>
      </c>
      <c r="B71" s="402">
        <f>'табель малоимущих'!B57</f>
        <v>0</v>
      </c>
      <c r="C71" s="403" t="s">
        <v>7</v>
      </c>
      <c r="D71" s="403" t="s">
        <v>7</v>
      </c>
      <c r="E71" s="403" t="s">
        <v>7</v>
      </c>
      <c r="F71" s="132">
        <f>'табель ОВЗ обед'!C66</f>
        <v>0</v>
      </c>
      <c r="G71" s="405">
        <f>'табель ОВЗ завтрак'!AR66+'табель ОВЗ обед'!AO66</f>
        <v>0</v>
      </c>
      <c r="H71" s="405"/>
      <c r="I71" s="405"/>
      <c r="J71" s="103"/>
      <c r="K71" s="105"/>
    </row>
    <row r="72" spans="1:11" s="104" customFormat="1" ht="15" hidden="1" customHeight="1" x14ac:dyDescent="0.25">
      <c r="A72" s="102">
        <v>59</v>
      </c>
      <c r="B72" s="402">
        <f>'табель малоимущих'!B45</f>
        <v>0</v>
      </c>
      <c r="C72" s="403" t="s">
        <v>7</v>
      </c>
      <c r="D72" s="403" t="s">
        <v>7</v>
      </c>
      <c r="E72" s="403" t="s">
        <v>7</v>
      </c>
      <c r="F72" s="132">
        <f>'табель ОВЗ обед'!C67</f>
        <v>0</v>
      </c>
      <c r="G72" s="405">
        <f>'табель ОВЗ завтрак'!AR67+'табель ОВЗ обед'!AO67</f>
        <v>0</v>
      </c>
      <c r="H72" s="405"/>
      <c r="I72" s="405"/>
      <c r="J72" s="103"/>
      <c r="K72" s="105"/>
    </row>
    <row r="73" spans="1:11" s="104" customFormat="1" ht="15" hidden="1" customHeight="1" x14ac:dyDescent="0.25">
      <c r="A73" s="102">
        <v>60</v>
      </c>
      <c r="B73" s="219"/>
      <c r="C73" s="220"/>
      <c r="D73" s="220"/>
      <c r="E73" s="220"/>
      <c r="F73" s="132">
        <f>'табель ОВЗ обед'!C68</f>
        <v>0</v>
      </c>
      <c r="G73" s="405">
        <f>'табель ОВЗ завтрак'!AR68+'табель ОВЗ обед'!AO68</f>
        <v>0</v>
      </c>
      <c r="H73" s="405"/>
      <c r="I73" s="405"/>
      <c r="J73" s="103"/>
      <c r="K73" s="105"/>
    </row>
    <row r="74" spans="1:11" s="104" customFormat="1" ht="15" hidden="1" customHeight="1" x14ac:dyDescent="0.25">
      <c r="A74" s="102">
        <v>61</v>
      </c>
      <c r="B74" s="219"/>
      <c r="C74" s="220"/>
      <c r="D74" s="220"/>
      <c r="E74" s="220"/>
      <c r="F74" s="132">
        <f>'табель ОВЗ обед'!C69</f>
        <v>0</v>
      </c>
      <c r="G74" s="405">
        <f>'табель ОВЗ завтрак'!AR69+'табель ОВЗ обед'!AO69</f>
        <v>0</v>
      </c>
      <c r="H74" s="405"/>
      <c r="I74" s="405"/>
      <c r="J74" s="103"/>
      <c r="K74" s="105"/>
    </row>
    <row r="75" spans="1:11" s="104" customFormat="1" ht="15" hidden="1" customHeight="1" x14ac:dyDescent="0.25">
      <c r="A75" s="102">
        <v>62</v>
      </c>
      <c r="B75" s="219"/>
      <c r="C75" s="220"/>
      <c r="D75" s="220"/>
      <c r="E75" s="220"/>
      <c r="F75" s="132">
        <f>'табель ОВЗ обед'!C70</f>
        <v>0</v>
      </c>
      <c r="G75" s="405">
        <f>'табель ОВЗ завтрак'!AR70+'табель ОВЗ обед'!AO70</f>
        <v>0</v>
      </c>
      <c r="H75" s="405"/>
      <c r="I75" s="405"/>
      <c r="J75" s="103"/>
      <c r="K75" s="105"/>
    </row>
    <row r="76" spans="1:11" s="104" customFormat="1" ht="15" hidden="1" customHeight="1" x14ac:dyDescent="0.25">
      <c r="A76" s="102">
        <v>63</v>
      </c>
      <c r="B76" s="402"/>
      <c r="C76" s="402"/>
      <c r="D76" s="402"/>
      <c r="E76" s="402"/>
      <c r="F76" s="132">
        <f>'табель ОВЗ обед'!C71</f>
        <v>0</v>
      </c>
      <c r="G76" s="405">
        <f>'табель ОВЗ завтрак'!AR71+'табель ОВЗ обед'!AO71</f>
        <v>0</v>
      </c>
      <c r="H76" s="405"/>
      <c r="I76" s="405"/>
      <c r="J76" s="103"/>
      <c r="K76" s="105"/>
    </row>
    <row r="77" spans="1:11" s="104" customFormat="1" ht="24" hidden="1" customHeight="1" x14ac:dyDescent="0.25">
      <c r="A77" s="102">
        <v>64</v>
      </c>
      <c r="B77" s="402"/>
      <c r="C77" s="402"/>
      <c r="D77" s="402"/>
      <c r="E77" s="402"/>
      <c r="F77" s="132">
        <f>'табель ОВЗ обед'!C72</f>
        <v>0</v>
      </c>
      <c r="G77" s="405">
        <f>'табель ОВЗ завтрак'!AR72+'табель ОВЗ обед'!AO72</f>
        <v>0</v>
      </c>
      <c r="H77" s="405"/>
      <c r="I77" s="405"/>
      <c r="J77" s="103"/>
      <c r="K77" s="105"/>
    </row>
    <row r="78" spans="1:11" s="104" customFormat="1" ht="24" hidden="1" customHeight="1" x14ac:dyDescent="0.25">
      <c r="A78" s="102">
        <v>65</v>
      </c>
      <c r="B78" s="402"/>
      <c r="C78" s="402"/>
      <c r="D78" s="402"/>
      <c r="E78" s="402"/>
      <c r="F78" s="132">
        <f>'табель ОВЗ обед'!C73</f>
        <v>0</v>
      </c>
      <c r="G78" s="405">
        <f>'табель ОВЗ завтрак'!AR73+'табель ОВЗ обед'!AO73</f>
        <v>0</v>
      </c>
      <c r="H78" s="405"/>
      <c r="I78" s="405"/>
      <c r="J78" s="103"/>
      <c r="K78" s="105"/>
    </row>
    <row r="79" spans="1:11" s="104" customFormat="1" ht="34.5" hidden="1" customHeight="1" x14ac:dyDescent="0.25">
      <c r="A79" s="102">
        <v>66</v>
      </c>
      <c r="B79" s="402">
        <f>'табель малоимущих'!B44</f>
        <v>0</v>
      </c>
      <c r="C79" s="403" t="s">
        <v>7</v>
      </c>
      <c r="D79" s="403" t="s">
        <v>7</v>
      </c>
      <c r="E79" s="403" t="s">
        <v>7</v>
      </c>
      <c r="F79" s="132">
        <f>'табель ОВЗ обед'!C74</f>
        <v>0</v>
      </c>
      <c r="G79" s="405">
        <f>'табель ОВЗ завтрак'!AR74+'табель ОВЗ обед'!AO74</f>
        <v>0</v>
      </c>
      <c r="H79" s="405"/>
      <c r="I79" s="405"/>
      <c r="J79" s="103"/>
      <c r="K79" s="105"/>
    </row>
    <row r="80" spans="1:11" s="104" customFormat="1" ht="27" hidden="1" customHeight="1" x14ac:dyDescent="0.25">
      <c r="A80" s="102">
        <v>67</v>
      </c>
      <c r="B80" s="402">
        <f>'табель малоимущих'!B45</f>
        <v>0</v>
      </c>
      <c r="C80" s="403" t="s">
        <v>7</v>
      </c>
      <c r="D80" s="403" t="s">
        <v>7</v>
      </c>
      <c r="E80" s="403" t="s">
        <v>7</v>
      </c>
      <c r="F80" s="132">
        <f>'табель ОВЗ обед'!C75</f>
        <v>0</v>
      </c>
      <c r="G80" s="405">
        <f>'табель ОВЗ завтрак'!AR75+'табель ОВЗ обед'!AO75</f>
        <v>0</v>
      </c>
      <c r="H80" s="405"/>
      <c r="I80" s="405"/>
      <c r="J80" s="103"/>
      <c r="K80" s="105"/>
    </row>
    <row r="81" spans="1:11" s="104" customFormat="1" ht="15.75" hidden="1" customHeight="1" x14ac:dyDescent="0.25">
      <c r="A81" s="102">
        <v>68</v>
      </c>
      <c r="B81" s="402">
        <f>'табель малоимущих'!B46</f>
        <v>0</v>
      </c>
      <c r="C81" s="403" t="s">
        <v>7</v>
      </c>
      <c r="D81" s="403" t="s">
        <v>7</v>
      </c>
      <c r="E81" s="403" t="s">
        <v>7</v>
      </c>
      <c r="F81" s="132">
        <f>'табель ОВЗ обед'!C76</f>
        <v>0</v>
      </c>
      <c r="G81" s="405">
        <f>'табель ОВЗ завтрак'!AR76+'табель ОВЗ обед'!AO76</f>
        <v>0</v>
      </c>
      <c r="H81" s="405"/>
      <c r="I81" s="405"/>
      <c r="J81" s="103"/>
      <c r="K81" s="105"/>
    </row>
    <row r="82" spans="1:11" s="104" customFormat="1" ht="15.75" hidden="1" customHeight="1" x14ac:dyDescent="0.25">
      <c r="A82" s="102">
        <v>69</v>
      </c>
      <c r="B82" s="402">
        <f>'табель малоимущих'!B47</f>
        <v>0</v>
      </c>
      <c r="C82" s="403" t="s">
        <v>7</v>
      </c>
      <c r="D82" s="403" t="s">
        <v>7</v>
      </c>
      <c r="E82" s="403" t="s">
        <v>7</v>
      </c>
      <c r="F82" s="132">
        <f>'табель ОВЗ обед'!C77</f>
        <v>0</v>
      </c>
      <c r="G82" s="405">
        <f>'табель ОВЗ завтрак'!AR77+'табель ОВЗ обед'!AO77</f>
        <v>0</v>
      </c>
      <c r="H82" s="405"/>
      <c r="I82" s="405"/>
      <c r="J82" s="103"/>
      <c r="K82" s="105"/>
    </row>
    <row r="83" spans="1:11" s="98" customFormat="1" ht="12.75" customHeight="1" x14ac:dyDescent="0.25">
      <c r="A83" s="221"/>
      <c r="B83" s="414" t="s">
        <v>3</v>
      </c>
      <c r="C83" s="415"/>
      <c r="D83" s="415"/>
      <c r="E83" s="416"/>
      <c r="F83" s="83"/>
      <c r="G83" s="423">
        <f>SUM(G18:G82)</f>
        <v>1695.1999999999998</v>
      </c>
      <c r="H83" s="423"/>
      <c r="I83" s="423"/>
      <c r="J83" s="106"/>
      <c r="K83" s="107"/>
    </row>
    <row r="84" spans="1:11" s="50" customFormat="1" ht="18.75" customHeight="1" x14ac:dyDescent="0.2">
      <c r="J84" s="52"/>
    </row>
    <row r="85" spans="1:11" s="50" customFormat="1" ht="27" customHeight="1" outlineLevel="1" x14ac:dyDescent="0.2">
      <c r="A85" s="50" t="s">
        <v>43</v>
      </c>
      <c r="C85" s="53"/>
      <c r="E85" s="108" t="s">
        <v>82</v>
      </c>
      <c r="J85" s="52"/>
    </row>
    <row r="86" spans="1:11" s="56" customFormat="1" ht="9.1999999999999993" customHeight="1" outlineLevel="1" x14ac:dyDescent="0.2">
      <c r="C86" s="109" t="s">
        <v>18</v>
      </c>
      <c r="E86" s="60" t="s">
        <v>19</v>
      </c>
      <c r="J86" s="61"/>
    </row>
    <row r="87" spans="1:11" s="50" customFormat="1" ht="15.2" customHeight="1" outlineLevel="1" x14ac:dyDescent="0.2">
      <c r="A87" s="50" t="s">
        <v>44</v>
      </c>
      <c r="C87" s="53"/>
      <c r="E87" s="108" t="s">
        <v>90</v>
      </c>
      <c r="J87" s="52"/>
    </row>
    <row r="88" spans="1:11" s="56" customFormat="1" ht="24" customHeight="1" outlineLevel="1" x14ac:dyDescent="0.2">
      <c r="C88" s="109" t="s">
        <v>18</v>
      </c>
      <c r="E88" s="60" t="s">
        <v>19</v>
      </c>
      <c r="H88" s="58"/>
      <c r="I88" s="58"/>
      <c r="J88" s="61"/>
    </row>
    <row r="89" spans="1:11" s="50" customFormat="1" ht="15.2" customHeight="1" outlineLevel="1" x14ac:dyDescent="0.25">
      <c r="C89" s="418"/>
      <c r="D89" s="418"/>
      <c r="J89" s="52"/>
    </row>
    <row r="90" spans="1:11" s="56" customFormat="1" ht="13.5" customHeight="1" outlineLevel="1" x14ac:dyDescent="0.2">
      <c r="B90" s="109"/>
      <c r="C90" s="60"/>
      <c r="H90" s="58"/>
      <c r="I90" s="58"/>
      <c r="J90" s="61"/>
    </row>
    <row r="91" spans="1:11" s="114" customFormat="1" ht="12.75" customHeight="1" outlineLevel="1" x14ac:dyDescent="0.2">
      <c r="A91" s="424">
        <f>G83</f>
        <v>1695.1999999999998</v>
      </c>
      <c r="B91" s="424"/>
      <c r="C91" s="110">
        <f>FLOOR(A91/1000000,1)</f>
        <v>0</v>
      </c>
      <c r="D91" s="111" t="str">
        <f>IF(C91&gt;5,"",IF(C91=1,"Один ",IF(C91=2,"Два ",IF(C91=3,"Три ",IF(C91=4,"Четыре ",IF(C91=5,"Пять ",IF(C91=0,"")))))))</f>
        <v/>
      </c>
      <c r="E91" s="111" t="str">
        <f>IF(C91&lt;5,"",IF(C91=6,"Шесть ",IF(C91=7,"Семь ",IF(C91=8,"Восемь ",IF(C91=9,"Девять ",IF(C91=0,"",IF(C91=5,"")))))))</f>
        <v/>
      </c>
      <c r="F91" s="111" t="str">
        <f>IF(C91=0,"",IF(C91=1,"миллион ",IF(AND(C91&gt;=2,C91&lt;=4),"миллиона ","миллионов ")))</f>
        <v/>
      </c>
      <c r="G91" s="112"/>
      <c r="H91" s="112"/>
      <c r="I91" s="113"/>
    </row>
    <row r="92" spans="1:11" s="114" customFormat="1" ht="12.75" customHeight="1" outlineLevel="1" x14ac:dyDescent="0.2">
      <c r="B92" s="212"/>
      <c r="C92" s="110">
        <f>FLOOR((A91-C91*1000000)/100000,1)</f>
        <v>0</v>
      </c>
      <c r="D92" s="111" t="str">
        <f>IF(C92&gt;5,"",IF(C92=1,"Сто ",IF(C92=2,"Двести ",IF(C92=3,"Триста ",IF(C92=4,"Четыреста ",IF(C92=5,"Пятьсот ",IF(C92=0,"")))))))</f>
        <v/>
      </c>
      <c r="E92" s="111" t="str">
        <f>IF(C92&lt;5,"",IF(C92=6,"Шестьсот ",IF(C92=7,"Семьсот ",IF(C92=8,"Восемьсот ",IF(C92=9,"Девятьсот ",IF(C92=0,"",IF(C92=5,"")))))))</f>
        <v/>
      </c>
      <c r="F92" s="111" t="str">
        <f>IF(C92=0,"",IF(AND(C93=0,C94=0),"тысяч ",""))</f>
        <v/>
      </c>
      <c r="G92" s="112"/>
      <c r="H92" s="112"/>
      <c r="I92" s="113"/>
    </row>
    <row r="93" spans="1:11" s="114" customFormat="1" ht="12.75" customHeight="1" outlineLevel="1" x14ac:dyDescent="0.2">
      <c r="B93" s="212"/>
      <c r="C93" s="110">
        <f>FLOOR((A91-(C91*1000000)-(C92*100000))/10000,1)</f>
        <v>0</v>
      </c>
      <c r="D93" s="111" t="str">
        <f>IF(C93&gt;5,"",IF(AND(C93=1,C94=0),"Десять ",IF(C93=2,"Двадцать ",IF(C93=3,"Тридцать ",IF(C93=4,"Сорок ",IF(C93=5,"Пятьдесят ",IF(C93=0,"","")))))))</f>
        <v/>
      </c>
      <c r="E93" s="111" t="str">
        <f>IF(C93&lt;5,"",IF(C93=6,"Шестьдесят ",IF(C93=7,"Семьдесят ",IF(C93=8,"Восемьдесят ",IF(C93=9,"Девяносто ",IF(C93=0,"",IF(C93=5,"")))))))</f>
        <v/>
      </c>
      <c r="F93" s="111" t="str">
        <f>IF(C93=0,"",IF(C94=0,"тысяч ",""))</f>
        <v/>
      </c>
      <c r="G93" s="111" t="str">
        <f>IF(C93&lt;&gt;1,"",IF(C94=1,"Одиннадцать ",IF(C94=2,"Двенадцать ",IF(C94=3,"Тринадцать ",IF(C94=4,"Четырнадцать ",IF(C94=5,"Пятнадцать ",IF(C94=6,"Шестнадцать ",IF(C94=7,"Семнадцать ",""))))))))</f>
        <v/>
      </c>
      <c r="H93" s="112" t="str">
        <f>IF(C93&lt;&gt;1,"",IF(C94=0,"",IF(C94=8,"Восемнадцать ",IF(C94=9,"Девятнадцать ",""))))</f>
        <v/>
      </c>
      <c r="I93" s="113"/>
    </row>
    <row r="94" spans="1:11" s="114" customFormat="1" ht="12.75" customHeight="1" outlineLevel="1" x14ac:dyDescent="0.2">
      <c r="B94" s="212"/>
      <c r="C94" s="110">
        <f>FLOOR((A91-(C91*1000000)-(C92*100000)-(C93*10000))/1000,1)</f>
        <v>1</v>
      </c>
      <c r="D94" s="111" t="str">
        <f>IF(C94&gt;5,"",IF(C93=1,"",IF(C94=1,"Одна ",IF(C94=2,"Две ",IF(C94=3,"Три ",IF(C94=4,"Четыре ",IF(C94=5,"Пять ",IF(C94=0,""))))))))</f>
        <v xml:space="preserve">Одна </v>
      </c>
      <c r="E94" s="111" t="str">
        <f>IF(C94&lt;5,"",IF(C93=1,"",IF(C94=6,"Шесть ",IF(C94=7,"Семь ",IF(C94=8,"Восемь ",IF(C94=9,"Девять ",IF(C94=0,"",IF(C94=5,""))))))))</f>
        <v/>
      </c>
      <c r="F94" s="111" t="str">
        <f>IF(C94=0,"",IF(AND(C94=1,C93=1),"тысяч ",IF(C94=1,"тысяча ",IF(C93=1,"тысяч ",IF(AND(C94&gt;1,C94&lt;5),"тысячи ","тысяч ")))))</f>
        <v xml:space="preserve">тысяча </v>
      </c>
      <c r="G94" s="112"/>
      <c r="H94" s="112"/>
      <c r="I94" s="113"/>
    </row>
    <row r="95" spans="1:11" s="114" customFormat="1" ht="12.75" customHeight="1" outlineLevel="1" x14ac:dyDescent="0.2">
      <c r="B95" s="212"/>
      <c r="C95" s="110">
        <f>FLOOR((A91-(C91*1000000)-(C92*100000)-(C93*10000)-(C94*1000))/100,1)</f>
        <v>6</v>
      </c>
      <c r="D95" s="111" t="str">
        <f>IF(C95&gt;5,"",IF(C95=1,"Сто ",IF(C95=2,"Двести ",IF(C95=3,"Триста ",IF(C95=4,"Четыреста ",IF(C95=5,"Пятьсот ",IF(C95=0,"")))))))</f>
        <v/>
      </c>
      <c r="E95" s="111" t="str">
        <f>IF(C95&lt;5,"",IF(C95=6,"Шестьсот ",IF(C95=7,"Семьсот ",IF(C95=8,"Восемьсот ",IF(C95=9,"Девятьсот ",IF(C95=0,"",IF(C95=5,"")))))))</f>
        <v xml:space="preserve">Шестьсот </v>
      </c>
      <c r="F95" s="112"/>
      <c r="G95" s="112"/>
      <c r="H95" s="112"/>
      <c r="I95" s="113"/>
    </row>
    <row r="96" spans="1:11" s="114" customFormat="1" ht="12.75" customHeight="1" outlineLevel="1" x14ac:dyDescent="0.2">
      <c r="B96" s="212"/>
      <c r="C96" s="110">
        <f>FLOOR((A91-(C91*1000000)-(C92*100000)-(C93*10000)-(C94*1000)-(C95*100))/10,1)</f>
        <v>9</v>
      </c>
      <c r="D96" s="111" t="str">
        <f>IF(C96&gt;5,"",IF(C96=1,"",IF(C96=2,"Двадцать ",IF(C96=3,"Тридцать ",IF(C96=4,"Сорок ",IF(C96=5,"Пятьдесят ",IF(C96=0,"")))))))</f>
        <v/>
      </c>
      <c r="E96" s="111" t="str">
        <f>IF(C96&lt;5,"",IF(C96=6,"Шестьдесят ",IF(C96=7,"Семьдесят ",IF(C96=8,"Восемьдесят ",IF(C96=9,"Девяносто ",IF(C96=0,"",IF(C96=5,"")))))))</f>
        <v xml:space="preserve">Девяносто </v>
      </c>
      <c r="F96" s="112"/>
      <c r="G96" s="111" t="str">
        <f>IF(C96&lt;&gt;1,"",IF(C97=1,"Одиннадцать ",IF(C97=2,"Двенадцать ",IF(C97=3,"Тринадцать ",IF(C97=4,"Четырнадцать ",IF(C97=5,"Пятнадцать ",IF(C97=6,"Шестнадцать ",IF(C97=7,"Семнадцать ",""))))))))</f>
        <v/>
      </c>
      <c r="H96" s="111" t="str">
        <f>IF(C96&lt;&gt;1,"",IF(C97=0,"Десять ",IF(C97=8,"Восемнадцать ",IF(C97=9,"Девятнадцать ",""))))</f>
        <v/>
      </c>
      <c r="I96" s="113"/>
    </row>
    <row r="97" spans="1:11" s="114" customFormat="1" ht="12.75" customHeight="1" outlineLevel="1" x14ac:dyDescent="0.2">
      <c r="B97" s="212"/>
      <c r="C97" s="110">
        <f>FLOOR((A91-(C91*1000000)-(C92*100000)-(C93*10000)-(C94*1000)-(C95*100)-(C96*10)),1)</f>
        <v>5</v>
      </c>
      <c r="D97" s="111" t="str">
        <f>IF(C97&gt;5,"",IF(C96=1,"",IF(C97=1,"Один ",IF(C97=2,"Два ",IF(C97=3,"Три ",IF(C97=4,"Четыре ",IF(C97=5,"Пять ",IF(C97=0," "))))))))</f>
        <v xml:space="preserve">Пять </v>
      </c>
      <c r="E97" s="111" t="str">
        <f>IF(C97&lt;5,"",IF(C96=1,"",IF(C97=6,"Шесть ",IF(C97=7,"Семь ",IF(C97=8,"Восемь ",IF(C97=9,"Девять ",IF(C97=0,"",IF(C97=5,""))))))))</f>
        <v/>
      </c>
      <c r="F97" s="112"/>
      <c r="G97" s="112"/>
      <c r="H97" s="112"/>
      <c r="I97" s="111" t="str">
        <f>IF(C96=1,"рублей",IF(C97=0,"рублей",IF(C97=1,"рубль",IF(AND(C97&gt;1,C97&lt;5),"рубля","рублей"))))</f>
        <v>рублей</v>
      </c>
    </row>
    <row r="98" spans="1:11" s="114" customFormat="1" ht="12.75" customHeight="1" outlineLevel="1" x14ac:dyDescent="0.2">
      <c r="A98" s="116" t="str">
        <f>REPLACE(LOWER(CONCATENATE(D91,E91,F91,D92,E92,F92,D93,E93,F93,G93,H93,D94,E94,F94,G94,H94,D95,E95,F95,D96,E96,F96,G96,H96,D97,E97,F97,G97,H97,I97)),1,1,LEFT(CONCATENATE(D91,E91,F91,D92,E92,F92,D93,E93,F93,G93,H93,D94,E94,F94,G94,H94,D95,E95,F95,D96,E96,F96,G96,H96,D97,E97,F97,G97,H97,I97),1))</f>
        <v>Одна тысяча шестьсот девяносто пять рублей</v>
      </c>
      <c r="B98" s="117"/>
      <c r="C98" s="116"/>
      <c r="D98" s="116"/>
      <c r="E98" s="116"/>
      <c r="F98" s="116"/>
      <c r="G98" s="116"/>
      <c r="H98" s="116"/>
      <c r="I98" s="118"/>
      <c r="J98" s="117"/>
      <c r="K98" s="117"/>
    </row>
    <row r="99" spans="1:11" s="114" customFormat="1" ht="12.75" customHeight="1" outlineLevel="1" x14ac:dyDescent="0.2">
      <c r="C99" s="110">
        <f>ROUND((A101-INT(A101))*100,0)</f>
        <v>20</v>
      </c>
      <c r="D99" s="119">
        <f>IF(C99&lt;10,CONCATENATE(0,C99),C99)</f>
        <v>20</v>
      </c>
      <c r="E99" s="111">
        <f>C99-(FLOOR(C99/10,1)*10)</f>
        <v>0</v>
      </c>
      <c r="F99" s="111" t="s">
        <v>45</v>
      </c>
      <c r="G99" s="112"/>
      <c r="H99" s="112"/>
      <c r="I99" s="120"/>
    </row>
    <row r="100" spans="1:11" s="114" customFormat="1" ht="12.75" customHeight="1" outlineLevel="1" x14ac:dyDescent="0.2">
      <c r="A100" s="116" t="str">
        <f>CONCATENATE(D99,F99)</f>
        <v>20 коп.</v>
      </c>
      <c r="B100" s="117"/>
      <c r="C100" s="112"/>
      <c r="D100" s="121"/>
      <c r="E100" s="112"/>
      <c r="F100" s="112"/>
      <c r="G100" s="112"/>
      <c r="H100" s="112"/>
      <c r="I100" s="113"/>
    </row>
    <row r="101" spans="1:11" s="114" customFormat="1" ht="12.75" customHeight="1" outlineLevel="1" x14ac:dyDescent="0.2">
      <c r="A101" s="213">
        <f>A102-INT(A102)</f>
        <v>0.1999999999998181</v>
      </c>
      <c r="B101" s="213"/>
      <c r="C101" s="123"/>
      <c r="D101" s="113"/>
      <c r="E101" s="113"/>
      <c r="F101" s="113"/>
      <c r="G101" s="113"/>
      <c r="H101" s="113"/>
      <c r="I101" s="113"/>
    </row>
    <row r="102" spans="1:11" s="114" customFormat="1" ht="12.75" customHeight="1" outlineLevel="1" x14ac:dyDescent="0.2">
      <c r="A102" s="422">
        <f>G83</f>
        <v>1695.1999999999998</v>
      </c>
      <c r="B102" s="422"/>
      <c r="C102" s="113"/>
      <c r="D102" s="113"/>
      <c r="E102" s="113"/>
      <c r="F102" s="113"/>
      <c r="G102" s="113"/>
      <c r="H102" s="113"/>
      <c r="I102" s="113"/>
    </row>
    <row r="103" spans="1:11" ht="15.2" customHeight="1" outlineLevel="1" x14ac:dyDescent="0.2"/>
    <row r="104" spans="1:11" ht="15.2" customHeight="1" outlineLevel="1" x14ac:dyDescent="0.2"/>
    <row r="105" spans="1:11" ht="15.2" customHeight="1" x14ac:dyDescent="0.2"/>
    <row r="106" spans="1:11" ht="15.2" customHeight="1" x14ac:dyDescent="0.2"/>
    <row r="107" spans="1:11" ht="15.2" customHeight="1" x14ac:dyDescent="0.2">
      <c r="J107" s="68"/>
    </row>
    <row r="108" spans="1:11" ht="15.2" customHeight="1" x14ac:dyDescent="0.2">
      <c r="J108" s="68"/>
    </row>
    <row r="109" spans="1:11" ht="15.2" customHeight="1" x14ac:dyDescent="0.2">
      <c r="J109" s="68"/>
    </row>
    <row r="110" spans="1:11" ht="15.2" customHeight="1" x14ac:dyDescent="0.2">
      <c r="J110" s="68"/>
    </row>
    <row r="111" spans="1:11" ht="15.2" customHeight="1" x14ac:dyDescent="0.2">
      <c r="J111" s="68"/>
    </row>
    <row r="112" spans="1:11" ht="15.2" customHeight="1" x14ac:dyDescent="0.2">
      <c r="J112" s="68"/>
    </row>
    <row r="113" spans="10:10" ht="15.2" customHeight="1" x14ac:dyDescent="0.2">
      <c r="J113" s="68"/>
    </row>
    <row r="114" spans="10:10" ht="15.2" customHeight="1" x14ac:dyDescent="0.2">
      <c r="J114" s="68"/>
    </row>
    <row r="115" spans="10:10" ht="15.2" customHeight="1" x14ac:dyDescent="0.2">
      <c r="J115" s="68"/>
    </row>
    <row r="116" spans="10:10" ht="15.2" customHeight="1" x14ac:dyDescent="0.2">
      <c r="J116" s="68"/>
    </row>
    <row r="117" spans="10:10" ht="15.2" customHeight="1" x14ac:dyDescent="0.2">
      <c r="J117" s="68"/>
    </row>
    <row r="118" spans="10:10" ht="15.2" customHeight="1" x14ac:dyDescent="0.2">
      <c r="J118" s="68"/>
    </row>
    <row r="119" spans="10:10" ht="15.2" customHeight="1" x14ac:dyDescent="0.2">
      <c r="J119" s="68"/>
    </row>
    <row r="120" spans="10:10" ht="15.2" customHeight="1" x14ac:dyDescent="0.2">
      <c r="J120" s="68"/>
    </row>
    <row r="121" spans="10:10" ht="15.2" customHeight="1" x14ac:dyDescent="0.2">
      <c r="J121" s="68"/>
    </row>
    <row r="122" spans="10:10" ht="15.2" customHeight="1" x14ac:dyDescent="0.2">
      <c r="J122" s="68"/>
    </row>
    <row r="123" spans="10:10" ht="15.2" customHeight="1" x14ac:dyDescent="0.2">
      <c r="J123" s="68"/>
    </row>
    <row r="124" spans="10:10" ht="15.2" customHeight="1" x14ac:dyDescent="0.2">
      <c r="J124" s="68"/>
    </row>
    <row r="125" spans="10:10" ht="15.2" customHeight="1" x14ac:dyDescent="0.2">
      <c r="J125" s="68"/>
    </row>
    <row r="126" spans="10:10" ht="15.2" customHeight="1" x14ac:dyDescent="0.2">
      <c r="J126" s="68"/>
    </row>
    <row r="127" spans="10:10" ht="15.2" customHeight="1" x14ac:dyDescent="0.2">
      <c r="J127" s="68"/>
    </row>
    <row r="128" spans="10:10" ht="15.2" customHeight="1" x14ac:dyDescent="0.2">
      <c r="J128" s="68"/>
    </row>
    <row r="129" spans="1:10" ht="15.2" customHeight="1" x14ac:dyDescent="0.2">
      <c r="J129" s="68"/>
    </row>
    <row r="130" spans="1:10" ht="15.2" customHeight="1" x14ac:dyDescent="0.2">
      <c r="J130" s="68"/>
    </row>
    <row r="131" spans="1:10" ht="15.2" customHeight="1" x14ac:dyDescent="0.2">
      <c r="J131" s="68"/>
    </row>
    <row r="132" spans="1:10" ht="15.2" customHeight="1" x14ac:dyDescent="0.2">
      <c r="J132" s="68"/>
    </row>
    <row r="133" spans="1:10" ht="15.2" customHeight="1" x14ac:dyDescent="0.2">
      <c r="J133" s="68"/>
    </row>
    <row r="134" spans="1:10" ht="15.2" customHeight="1" x14ac:dyDescent="0.2">
      <c r="J134" s="68"/>
    </row>
    <row r="135" spans="1:10" ht="15.2" hidden="1" customHeight="1" x14ac:dyDescent="0.25">
      <c r="A135" s="425" t="s">
        <v>46</v>
      </c>
      <c r="B135" s="425"/>
      <c r="J135" s="68"/>
    </row>
    <row r="136" spans="1:10" ht="15.2" hidden="1" customHeight="1" x14ac:dyDescent="0.2">
      <c r="J136" s="68"/>
    </row>
    <row r="137" spans="1:10" ht="21.95" hidden="1" customHeight="1" x14ac:dyDescent="0.2">
      <c r="A137" s="124">
        <v>1</v>
      </c>
      <c r="B137" s="413" t="s">
        <v>47</v>
      </c>
      <c r="C137" s="413"/>
      <c r="D137" s="413"/>
      <c r="E137" s="413"/>
      <c r="F137" s="413"/>
      <c r="J137" s="68"/>
    </row>
    <row r="138" spans="1:10" ht="21.95" hidden="1" customHeight="1" x14ac:dyDescent="0.2">
      <c r="A138" s="124">
        <v>2</v>
      </c>
      <c r="B138" s="413" t="s">
        <v>48</v>
      </c>
      <c r="C138" s="413"/>
      <c r="D138" s="413"/>
      <c r="E138" s="413"/>
      <c r="F138" s="413"/>
      <c r="J138" s="68"/>
    </row>
    <row r="139" spans="1:10" ht="21.95" hidden="1" customHeight="1" x14ac:dyDescent="0.2">
      <c r="A139" s="124">
        <v>3</v>
      </c>
      <c r="B139" s="413" t="s">
        <v>49</v>
      </c>
      <c r="C139" s="413"/>
      <c r="D139" s="413"/>
      <c r="E139" s="413"/>
      <c r="F139" s="413"/>
      <c r="J139" s="68"/>
    </row>
    <row r="140" spans="1:10" ht="21.95" hidden="1" customHeight="1" x14ac:dyDescent="0.2">
      <c r="A140" s="124">
        <v>4</v>
      </c>
      <c r="B140" s="413" t="s">
        <v>50</v>
      </c>
      <c r="C140" s="413"/>
      <c r="D140" s="413"/>
      <c r="E140" s="413"/>
      <c r="F140" s="413"/>
      <c r="J140" s="68"/>
    </row>
    <row r="141" spans="1:10" ht="21.95" hidden="1" customHeight="1" x14ac:dyDescent="0.2">
      <c r="A141" s="124">
        <v>5</v>
      </c>
      <c r="B141" s="413" t="s">
        <v>51</v>
      </c>
      <c r="C141" s="413"/>
      <c r="D141" s="413"/>
      <c r="E141" s="413"/>
      <c r="F141" s="413"/>
      <c r="J141" s="68"/>
    </row>
    <row r="142" spans="1:10" ht="21.95" hidden="1" customHeight="1" x14ac:dyDescent="0.2">
      <c r="A142" s="124">
        <v>6</v>
      </c>
      <c r="B142" s="413" t="s">
        <v>52</v>
      </c>
      <c r="C142" s="413"/>
      <c r="D142" s="413"/>
      <c r="E142" s="413"/>
      <c r="F142" s="413"/>
      <c r="J142" s="68"/>
    </row>
    <row r="143" spans="1:10" ht="21.95" hidden="1" customHeight="1" x14ac:dyDescent="0.2">
      <c r="A143" s="124">
        <v>7</v>
      </c>
      <c r="B143" s="413" t="s">
        <v>53</v>
      </c>
      <c r="C143" s="413"/>
      <c r="D143" s="413"/>
      <c r="E143" s="413"/>
      <c r="F143" s="413"/>
      <c r="J143" s="68"/>
    </row>
    <row r="144" spans="1:10" ht="21.95" hidden="1" customHeight="1" x14ac:dyDescent="0.25">
      <c r="A144" s="125"/>
      <c r="B144" s="211" t="s">
        <v>3</v>
      </c>
      <c r="C144" s="98"/>
      <c r="D144" s="98"/>
      <c r="E144" s="98"/>
      <c r="F144" s="98"/>
      <c r="J144" s="68"/>
    </row>
    <row r="145" spans="1:10" ht="21.95" hidden="1" customHeight="1" x14ac:dyDescent="0.2">
      <c r="A145" s="50" t="s">
        <v>54</v>
      </c>
      <c r="B145" s="50"/>
      <c r="C145" s="50"/>
      <c r="D145" s="50"/>
      <c r="E145" s="50"/>
      <c r="F145" s="50"/>
      <c r="J145" s="68"/>
    </row>
    <row r="146" spans="1:10" ht="21.95" hidden="1" customHeight="1" x14ac:dyDescent="0.2">
      <c r="A146" s="50" t="s">
        <v>55</v>
      </c>
      <c r="B146" s="50"/>
      <c r="C146" s="50"/>
      <c r="D146" s="50"/>
      <c r="E146" s="50"/>
      <c r="F146" s="50"/>
      <c r="J146" s="68"/>
    </row>
    <row r="147" spans="1:10" ht="21.95" hidden="1" customHeight="1" x14ac:dyDescent="0.2">
      <c r="A147" s="50"/>
      <c r="B147" s="50"/>
      <c r="C147" s="50"/>
      <c r="D147" s="50"/>
      <c r="E147" s="50"/>
      <c r="F147" s="50"/>
      <c r="J147" s="68"/>
    </row>
    <row r="148" spans="1:10" ht="21.95" hidden="1" customHeight="1" x14ac:dyDescent="0.25">
      <c r="A148" s="50" t="s">
        <v>56</v>
      </c>
      <c r="B148" s="50"/>
      <c r="C148" s="418"/>
      <c r="D148" s="418"/>
      <c r="E148" s="50"/>
      <c r="F148" s="50"/>
      <c r="J148" s="68"/>
    </row>
    <row r="149" spans="1:10" ht="21.95" hidden="1" customHeight="1" x14ac:dyDescent="0.2">
      <c r="A149" s="56"/>
      <c r="B149" s="109" t="s">
        <v>18</v>
      </c>
      <c r="C149" s="60" t="s">
        <v>19</v>
      </c>
      <c r="D149" s="56"/>
      <c r="E149" s="56"/>
      <c r="F149" s="56"/>
      <c r="J149" s="68"/>
    </row>
    <row r="150" spans="1:10" ht="21.95" hidden="1" customHeight="1" x14ac:dyDescent="0.2">
      <c r="A150" s="50"/>
      <c r="B150" s="50"/>
      <c r="C150" s="50"/>
      <c r="D150" s="50"/>
      <c r="E150" s="50"/>
      <c r="F150" s="50"/>
      <c r="J150" s="68"/>
    </row>
    <row r="151" spans="1:10" ht="21.95" hidden="1" customHeight="1" x14ac:dyDescent="0.2">
      <c r="A151" s="50"/>
      <c r="B151" s="50"/>
      <c r="C151" s="50"/>
      <c r="D151" s="50"/>
      <c r="E151" s="50"/>
      <c r="F151" s="50"/>
      <c r="J151" s="68"/>
    </row>
    <row r="152" spans="1:10" ht="21.95" hidden="1" customHeight="1" x14ac:dyDescent="0.2">
      <c r="A152" s="419" t="e">
        <f>#REF!</f>
        <v>#REF!</v>
      </c>
      <c r="B152" s="419"/>
      <c r="C152" s="112"/>
      <c r="D152" s="104"/>
      <c r="E152" s="104"/>
      <c r="F152" s="104"/>
      <c r="J152" s="68"/>
    </row>
    <row r="153" spans="1:10" ht="21.95" hidden="1" customHeight="1" x14ac:dyDescent="0.2">
      <c r="A153" s="104"/>
      <c r="B153" s="420"/>
      <c r="C153" s="112"/>
      <c r="D153" s="104"/>
      <c r="E153" s="104"/>
      <c r="F153" s="104"/>
      <c r="J153" s="68"/>
    </row>
    <row r="154" spans="1:10" ht="21.95" hidden="1" customHeight="1" x14ac:dyDescent="0.2">
      <c r="A154" s="104"/>
      <c r="B154" s="420"/>
      <c r="C154" s="112" t="e">
        <f>IF(#REF!&lt;&gt;1,"",IF(#REF!=0,"",IF(#REF!=8,"Восемнадцать ",IF(#REF!=9,"Девятнадцать ",""))))</f>
        <v>#REF!</v>
      </c>
      <c r="D154" s="104"/>
      <c r="E154" s="104"/>
      <c r="F154" s="104"/>
      <c r="J154" s="68"/>
    </row>
    <row r="155" spans="1:10" ht="21.95" hidden="1" customHeight="1" x14ac:dyDescent="0.2">
      <c r="A155" s="104"/>
      <c r="B155" s="420"/>
      <c r="C155" s="112"/>
      <c r="D155" s="104"/>
      <c r="E155" s="104"/>
      <c r="F155" s="104"/>
      <c r="J155" s="68"/>
    </row>
    <row r="156" spans="1:10" ht="21.95" hidden="1" customHeight="1" x14ac:dyDescent="0.2">
      <c r="A156" s="104"/>
      <c r="B156" s="420"/>
      <c r="C156" s="112"/>
      <c r="D156" s="104"/>
      <c r="E156" s="104"/>
      <c r="F156" s="104"/>
      <c r="J156" s="68"/>
    </row>
    <row r="157" spans="1:10" ht="21.95" hidden="1" customHeight="1" x14ac:dyDescent="0.2">
      <c r="A157" s="104"/>
      <c r="B157" s="420"/>
      <c r="C157" s="111" t="e">
        <f>IF(#REF!&lt;&gt;1,"",IF(#REF!=0,"Десять ",IF(#REF!=8,"Восемнадцать ",IF(#REF!=9,"Девятнадцать ",""))))</f>
        <v>#REF!</v>
      </c>
      <c r="D157" s="104"/>
      <c r="E157" s="104"/>
      <c r="F157" s="104"/>
      <c r="J157" s="68"/>
    </row>
    <row r="158" spans="1:10" ht="21.95" hidden="1" customHeight="1" x14ac:dyDescent="0.2">
      <c r="A158" s="104"/>
      <c r="B158" s="420"/>
      <c r="C158" s="112"/>
      <c r="D158" s="104"/>
      <c r="E158" s="104"/>
      <c r="F158" s="104"/>
      <c r="J158" s="68"/>
    </row>
    <row r="159" spans="1:10" ht="21.95" hidden="1" customHeight="1" x14ac:dyDescent="0.2">
      <c r="A159" s="116" t="e">
        <f>REPLACE(LOWER(CONCATENATE(#REF!,#REF!,#REF!,#REF!,#REF!,#REF!,#REF!,#REF!,#REF!,#REF!,C154,#REF!,#REF!,#REF!,#REF!,C155,#REF!,#REF!,#REF!,#REF!,#REF!,#REF!,#REF!,C157,#REF!,#REF!,#REF!,#REF!,C158,#REF!)),1,1,LEFT(CONCATENATE(#REF!,#REF!,#REF!,#REF!,#REF!,#REF!,#REF!,#REF!,#REF!,#REF!,C154,#REF!,#REF!,#REF!,#REF!,C155,#REF!,#REF!,#REF!,#REF!,#REF!,#REF!,#REF!,C157,#REF!,#REF!,#REF!,#REF!,C158,#REF!),1))</f>
        <v>#REF!</v>
      </c>
      <c r="B159" s="116"/>
      <c r="C159" s="116"/>
      <c r="D159" s="116"/>
      <c r="E159" s="104"/>
      <c r="F159" s="104"/>
      <c r="J159" s="68"/>
    </row>
    <row r="160" spans="1:10" ht="21.95" hidden="1" customHeight="1" x14ac:dyDescent="0.2">
      <c r="A160" s="104"/>
      <c r="B160" s="104"/>
      <c r="C160" s="112"/>
      <c r="D160" s="104"/>
      <c r="E160" s="104"/>
      <c r="F160" s="104"/>
      <c r="J160" s="68"/>
    </row>
    <row r="161" spans="1:10" ht="21.95" hidden="1" customHeight="1" x14ac:dyDescent="0.2">
      <c r="A161" s="116" t="e">
        <f>CONCATENATE(#REF!,#REF!)</f>
        <v>#REF!</v>
      </c>
      <c r="B161" s="116"/>
      <c r="C161" s="112"/>
      <c r="D161" s="104"/>
      <c r="E161" s="104"/>
      <c r="F161" s="104"/>
      <c r="J161" s="68"/>
    </row>
    <row r="162" spans="1:10" ht="21.95" hidden="1" customHeight="1" x14ac:dyDescent="0.2">
      <c r="A162" s="421" t="e">
        <f>A163-INT(A163)</f>
        <v>#REF!</v>
      </c>
      <c r="B162" s="421"/>
      <c r="C162" s="112"/>
      <c r="D162" s="104"/>
      <c r="E162" s="104"/>
      <c r="F162" s="104"/>
      <c r="J162" s="68"/>
    </row>
    <row r="163" spans="1:10" ht="21.95" hidden="1" customHeight="1" x14ac:dyDescent="0.2">
      <c r="A163" s="417" t="e">
        <f>#REF!</f>
        <v>#REF!</v>
      </c>
      <c r="B163" s="417"/>
      <c r="C163" s="112"/>
      <c r="D163" s="104"/>
      <c r="E163" s="104"/>
      <c r="F163" s="104"/>
      <c r="J163" s="68"/>
    </row>
    <row r="164" spans="1:10" ht="21.95" customHeight="1" collapsed="1" x14ac:dyDescent="0.2">
      <c r="A164" s="50"/>
      <c r="B164" s="50"/>
      <c r="C164" s="50"/>
      <c r="D164" s="50"/>
      <c r="E164" s="50"/>
      <c r="F164" s="50"/>
      <c r="J164" s="68"/>
    </row>
  </sheetData>
  <mergeCells count="153">
    <mergeCell ref="B7:G7"/>
    <mergeCell ref="C8:F8"/>
    <mergeCell ref="A9:B9"/>
    <mergeCell ref="C10:G10"/>
    <mergeCell ref="B16:E16"/>
    <mergeCell ref="G16:I16"/>
    <mergeCell ref="G18:I18"/>
    <mergeCell ref="B19:E19"/>
    <mergeCell ref="G19:I19"/>
    <mergeCell ref="B20:E20"/>
    <mergeCell ref="G20:I20"/>
    <mergeCell ref="B21:E21"/>
    <mergeCell ref="G21:I21"/>
    <mergeCell ref="B17:E17"/>
    <mergeCell ref="G17:I17"/>
    <mergeCell ref="B18:E18"/>
    <mergeCell ref="B25:E25"/>
    <mergeCell ref="G25:I25"/>
    <mergeCell ref="B26:E26"/>
    <mergeCell ref="G26:I26"/>
    <mergeCell ref="B27:E27"/>
    <mergeCell ref="G27:I27"/>
    <mergeCell ref="B22:E22"/>
    <mergeCell ref="G22:I22"/>
    <mergeCell ref="B23:E23"/>
    <mergeCell ref="G23:I23"/>
    <mergeCell ref="B24:E24"/>
    <mergeCell ref="G24:I24"/>
    <mergeCell ref="B31:E31"/>
    <mergeCell ref="G31:I31"/>
    <mergeCell ref="B32:E32"/>
    <mergeCell ref="G32:I32"/>
    <mergeCell ref="B33:E33"/>
    <mergeCell ref="G33:I33"/>
    <mergeCell ref="B28:E28"/>
    <mergeCell ref="G28:I28"/>
    <mergeCell ref="B29:E29"/>
    <mergeCell ref="G29:I29"/>
    <mergeCell ref="B30:E30"/>
    <mergeCell ref="G30:I30"/>
    <mergeCell ref="B37:E37"/>
    <mergeCell ref="G37:I37"/>
    <mergeCell ref="B38:E38"/>
    <mergeCell ref="G38:I38"/>
    <mergeCell ref="B39:E39"/>
    <mergeCell ref="G39:I39"/>
    <mergeCell ref="B34:E34"/>
    <mergeCell ref="G34:I34"/>
    <mergeCell ref="B35:E35"/>
    <mergeCell ref="G35:I35"/>
    <mergeCell ref="B36:E36"/>
    <mergeCell ref="G36:I36"/>
    <mergeCell ref="B43:E43"/>
    <mergeCell ref="G43:I43"/>
    <mergeCell ref="B44:E44"/>
    <mergeCell ref="G44:I44"/>
    <mergeCell ref="B45:E45"/>
    <mergeCell ref="G45:I45"/>
    <mergeCell ref="B40:E40"/>
    <mergeCell ref="G40:I40"/>
    <mergeCell ref="B41:E41"/>
    <mergeCell ref="G41:I41"/>
    <mergeCell ref="B42:E42"/>
    <mergeCell ref="G42:I42"/>
    <mergeCell ref="B49:E49"/>
    <mergeCell ref="G49:I49"/>
    <mergeCell ref="B50:E50"/>
    <mergeCell ref="G50:I50"/>
    <mergeCell ref="B51:E51"/>
    <mergeCell ref="G51:I51"/>
    <mergeCell ref="B46:E46"/>
    <mergeCell ref="G46:I46"/>
    <mergeCell ref="B47:E47"/>
    <mergeCell ref="G47:I47"/>
    <mergeCell ref="B48:E48"/>
    <mergeCell ref="G48:I48"/>
    <mergeCell ref="B55:E55"/>
    <mergeCell ref="G55:I55"/>
    <mergeCell ref="B56:E56"/>
    <mergeCell ref="G56:I56"/>
    <mergeCell ref="B57:E57"/>
    <mergeCell ref="G57:I57"/>
    <mergeCell ref="B52:E52"/>
    <mergeCell ref="G52:I52"/>
    <mergeCell ref="B53:E53"/>
    <mergeCell ref="G53:I53"/>
    <mergeCell ref="B54:E54"/>
    <mergeCell ref="G54:I54"/>
    <mergeCell ref="B61:E61"/>
    <mergeCell ref="G61:I61"/>
    <mergeCell ref="B62:E62"/>
    <mergeCell ref="G62:I62"/>
    <mergeCell ref="B63:E63"/>
    <mergeCell ref="G63:I63"/>
    <mergeCell ref="B58:E58"/>
    <mergeCell ref="G58:I58"/>
    <mergeCell ref="B59:E59"/>
    <mergeCell ref="G59:I59"/>
    <mergeCell ref="B60:E60"/>
    <mergeCell ref="G60:I60"/>
    <mergeCell ref="B67:E67"/>
    <mergeCell ref="G67:I67"/>
    <mergeCell ref="B68:E68"/>
    <mergeCell ref="G68:I68"/>
    <mergeCell ref="B69:E69"/>
    <mergeCell ref="G69:I69"/>
    <mergeCell ref="B64:E64"/>
    <mergeCell ref="G64:I64"/>
    <mergeCell ref="B65:E65"/>
    <mergeCell ref="G65:I65"/>
    <mergeCell ref="B66:E66"/>
    <mergeCell ref="G66:I66"/>
    <mergeCell ref="G73:I73"/>
    <mergeCell ref="G74:I74"/>
    <mergeCell ref="G75:I75"/>
    <mergeCell ref="B76:E76"/>
    <mergeCell ref="G76:I76"/>
    <mergeCell ref="B77:E77"/>
    <mergeCell ref="G77:I77"/>
    <mergeCell ref="B70:E70"/>
    <mergeCell ref="G70:I70"/>
    <mergeCell ref="B71:E71"/>
    <mergeCell ref="G71:I71"/>
    <mergeCell ref="B72:E72"/>
    <mergeCell ref="G72:I72"/>
    <mergeCell ref="B81:E81"/>
    <mergeCell ref="G81:I81"/>
    <mergeCell ref="B82:E82"/>
    <mergeCell ref="G82:I82"/>
    <mergeCell ref="G83:I83"/>
    <mergeCell ref="C89:D89"/>
    <mergeCell ref="B78:E78"/>
    <mergeCell ref="G78:I78"/>
    <mergeCell ref="B79:E79"/>
    <mergeCell ref="G79:I79"/>
    <mergeCell ref="B80:E80"/>
    <mergeCell ref="G80:I80"/>
    <mergeCell ref="B153:B158"/>
    <mergeCell ref="A162:B162"/>
    <mergeCell ref="A163:B163"/>
    <mergeCell ref="B83:E83"/>
    <mergeCell ref="B140:F140"/>
    <mergeCell ref="B141:F141"/>
    <mergeCell ref="B142:F142"/>
    <mergeCell ref="B143:F143"/>
    <mergeCell ref="C148:D148"/>
    <mergeCell ref="A152:B152"/>
    <mergeCell ref="A91:B91"/>
    <mergeCell ref="A102:B102"/>
    <mergeCell ref="A135:B135"/>
    <mergeCell ref="B137:F137"/>
    <mergeCell ref="B138:F138"/>
    <mergeCell ref="B139:F139"/>
  </mergeCells>
  <pageMargins left="0.70866141732283472" right="0.31496062992125984" top="0.74803149606299213" bottom="0.35433070866141736" header="0.31496062992125984" footer="0.31496062992125984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92D050"/>
    <pageSetUpPr fitToPage="1"/>
  </sheetPr>
  <dimension ref="A1:AX80"/>
  <sheetViews>
    <sheetView showGridLines="0" zoomScaleNormal="100" workbookViewId="0">
      <pane xSplit="4" ySplit="11" topLeftCell="E12" activePane="bottomRight" state="frozen"/>
      <selection pane="topRight" activeCell="E1" sqref="E1"/>
      <selection pane="bottomLeft" activeCell="A6" sqref="A6"/>
      <selection pane="bottomRight" activeCell="J43" sqref="J43"/>
    </sheetView>
  </sheetViews>
  <sheetFormatPr defaultRowHeight="12.75" outlineLevelRow="2" outlineLevelCol="1" x14ac:dyDescent="0.2"/>
  <cols>
    <col min="1" max="1" width="3.7109375" style="20" customWidth="1"/>
    <col min="2" max="2" width="38" style="215" customWidth="1"/>
    <col min="3" max="3" width="11.7109375" style="215" customWidth="1"/>
    <col min="4" max="4" width="11.5703125" style="20" customWidth="1"/>
    <col min="5" max="5" width="6" style="215" customWidth="1"/>
    <col min="6" max="10" width="5.7109375" style="215" customWidth="1"/>
    <col min="11" max="11" width="5.7109375" style="252" customWidth="1"/>
    <col min="12" max="17" width="5.7109375" style="215" customWidth="1"/>
    <col min="18" max="18" width="5.7109375" style="252" customWidth="1"/>
    <col min="19" max="21" width="5.7109375" style="215" customWidth="1"/>
    <col min="22" max="22" width="6" style="215" customWidth="1"/>
    <col min="23" max="29" width="5.7109375" style="215" customWidth="1"/>
    <col min="30" max="30" width="5.7109375" style="232" customWidth="1"/>
    <col min="31" max="31" width="5.7109375" style="252" customWidth="1"/>
    <col min="32" max="32" width="5.7109375" style="215" customWidth="1"/>
    <col min="33" max="33" width="5.7109375" style="252" customWidth="1"/>
    <col min="34" max="34" width="5.7109375" style="215" customWidth="1" outlineLevel="1"/>
    <col min="35" max="36" width="5.7109375" style="13" hidden="1" customWidth="1" outlineLevel="1"/>
    <col min="37" max="41" width="5.85546875" style="13" hidden="1" customWidth="1" outlineLevel="1"/>
    <col min="42" max="42" width="5" style="13" hidden="1" customWidth="1" outlineLevel="1"/>
    <col min="43" max="43" width="5.85546875" style="13" hidden="1" customWidth="1" outlineLevel="1"/>
    <col min="44" max="44" width="11.42578125" style="46" customWidth="1" collapsed="1"/>
    <col min="45" max="45" width="9.42578125" style="20" customWidth="1"/>
    <col min="46" max="46" width="11.5703125" style="215" bestFit="1" customWidth="1"/>
    <col min="47" max="47" width="0" hidden="1" customWidth="1" outlineLevel="1"/>
    <col min="48" max="48" width="0" style="215" hidden="1" customWidth="1" outlineLevel="1"/>
    <col min="49" max="49" width="5" style="134" hidden="1" customWidth="1" outlineLevel="1"/>
    <col min="50" max="50" width="9.140625" style="215" collapsed="1"/>
    <col min="51" max="265" width="9.140625" style="215"/>
    <col min="266" max="266" width="3.7109375" style="215" customWidth="1"/>
    <col min="267" max="267" width="34.42578125" style="215" customWidth="1"/>
    <col min="268" max="268" width="11.5703125" style="215" customWidth="1"/>
    <col min="269" max="269" width="11.7109375" style="215" customWidth="1"/>
    <col min="270" max="296" width="8.42578125" style="215" customWidth="1"/>
    <col min="297" max="297" width="11.42578125" style="215" customWidth="1"/>
    <col min="298" max="298" width="9.42578125" style="215" customWidth="1"/>
    <col min="299" max="299" width="11.5703125" style="215" bestFit="1" customWidth="1"/>
    <col min="300" max="300" width="9.28515625" style="215" bestFit="1" customWidth="1"/>
    <col min="301" max="521" width="9.140625" style="215"/>
    <col min="522" max="522" width="3.7109375" style="215" customWidth="1"/>
    <col min="523" max="523" width="34.42578125" style="215" customWidth="1"/>
    <col min="524" max="524" width="11.5703125" style="215" customWidth="1"/>
    <col min="525" max="525" width="11.7109375" style="215" customWidth="1"/>
    <col min="526" max="552" width="8.42578125" style="215" customWidth="1"/>
    <col min="553" max="553" width="11.42578125" style="215" customWidth="1"/>
    <col min="554" max="554" width="9.42578125" style="215" customWidth="1"/>
    <col min="555" max="555" width="11.5703125" style="215" bestFit="1" customWidth="1"/>
    <col min="556" max="556" width="9.28515625" style="215" bestFit="1" customWidth="1"/>
    <col min="557" max="777" width="9.140625" style="215"/>
    <col min="778" max="778" width="3.7109375" style="215" customWidth="1"/>
    <col min="779" max="779" width="34.42578125" style="215" customWidth="1"/>
    <col min="780" max="780" width="11.5703125" style="215" customWidth="1"/>
    <col min="781" max="781" width="11.7109375" style="215" customWidth="1"/>
    <col min="782" max="808" width="8.42578125" style="215" customWidth="1"/>
    <col min="809" max="809" width="11.42578125" style="215" customWidth="1"/>
    <col min="810" max="810" width="9.42578125" style="215" customWidth="1"/>
    <col min="811" max="811" width="11.5703125" style="215" bestFit="1" customWidth="1"/>
    <col min="812" max="812" width="9.28515625" style="215" bestFit="1" customWidth="1"/>
    <col min="813" max="1033" width="9.140625" style="215"/>
    <col min="1034" max="1034" width="3.7109375" style="215" customWidth="1"/>
    <col min="1035" max="1035" width="34.42578125" style="215" customWidth="1"/>
    <col min="1036" max="1036" width="11.5703125" style="215" customWidth="1"/>
    <col min="1037" max="1037" width="11.7109375" style="215" customWidth="1"/>
    <col min="1038" max="1064" width="8.42578125" style="215" customWidth="1"/>
    <col min="1065" max="1065" width="11.42578125" style="215" customWidth="1"/>
    <col min="1066" max="1066" width="9.42578125" style="215" customWidth="1"/>
    <col min="1067" max="1067" width="11.5703125" style="215" bestFit="1" customWidth="1"/>
    <col min="1068" max="1068" width="9.28515625" style="215" bestFit="1" customWidth="1"/>
    <col min="1069" max="1289" width="9.140625" style="215"/>
    <col min="1290" max="1290" width="3.7109375" style="215" customWidth="1"/>
    <col min="1291" max="1291" width="34.42578125" style="215" customWidth="1"/>
    <col min="1292" max="1292" width="11.5703125" style="215" customWidth="1"/>
    <col min="1293" max="1293" width="11.7109375" style="215" customWidth="1"/>
    <col min="1294" max="1320" width="8.42578125" style="215" customWidth="1"/>
    <col min="1321" max="1321" width="11.42578125" style="215" customWidth="1"/>
    <col min="1322" max="1322" width="9.42578125" style="215" customWidth="1"/>
    <col min="1323" max="1323" width="11.5703125" style="215" bestFit="1" customWidth="1"/>
    <col min="1324" max="1324" width="9.28515625" style="215" bestFit="1" customWidth="1"/>
    <col min="1325" max="1545" width="9.140625" style="215"/>
    <col min="1546" max="1546" width="3.7109375" style="215" customWidth="1"/>
    <col min="1547" max="1547" width="34.42578125" style="215" customWidth="1"/>
    <col min="1548" max="1548" width="11.5703125" style="215" customWidth="1"/>
    <col min="1549" max="1549" width="11.7109375" style="215" customWidth="1"/>
    <col min="1550" max="1576" width="8.42578125" style="215" customWidth="1"/>
    <col min="1577" max="1577" width="11.42578125" style="215" customWidth="1"/>
    <col min="1578" max="1578" width="9.42578125" style="215" customWidth="1"/>
    <col min="1579" max="1579" width="11.5703125" style="215" bestFit="1" customWidth="1"/>
    <col min="1580" max="1580" width="9.28515625" style="215" bestFit="1" customWidth="1"/>
    <col min="1581" max="1801" width="9.140625" style="215"/>
    <col min="1802" max="1802" width="3.7109375" style="215" customWidth="1"/>
    <col min="1803" max="1803" width="34.42578125" style="215" customWidth="1"/>
    <col min="1804" max="1804" width="11.5703125" style="215" customWidth="1"/>
    <col min="1805" max="1805" width="11.7109375" style="215" customWidth="1"/>
    <col min="1806" max="1832" width="8.42578125" style="215" customWidth="1"/>
    <col min="1833" max="1833" width="11.42578125" style="215" customWidth="1"/>
    <col min="1834" max="1834" width="9.42578125" style="215" customWidth="1"/>
    <col min="1835" max="1835" width="11.5703125" style="215" bestFit="1" customWidth="1"/>
    <col min="1836" max="1836" width="9.28515625" style="215" bestFit="1" customWidth="1"/>
    <col min="1837" max="2057" width="9.140625" style="215"/>
    <col min="2058" max="2058" width="3.7109375" style="215" customWidth="1"/>
    <col min="2059" max="2059" width="34.42578125" style="215" customWidth="1"/>
    <col min="2060" max="2060" width="11.5703125" style="215" customWidth="1"/>
    <col min="2061" max="2061" width="11.7109375" style="215" customWidth="1"/>
    <col min="2062" max="2088" width="8.42578125" style="215" customWidth="1"/>
    <col min="2089" max="2089" width="11.42578125" style="215" customWidth="1"/>
    <col min="2090" max="2090" width="9.42578125" style="215" customWidth="1"/>
    <col min="2091" max="2091" width="11.5703125" style="215" bestFit="1" customWidth="1"/>
    <col min="2092" max="2092" width="9.28515625" style="215" bestFit="1" customWidth="1"/>
    <col min="2093" max="2313" width="9.140625" style="215"/>
    <col min="2314" max="2314" width="3.7109375" style="215" customWidth="1"/>
    <col min="2315" max="2315" width="34.42578125" style="215" customWidth="1"/>
    <col min="2316" max="2316" width="11.5703125" style="215" customWidth="1"/>
    <col min="2317" max="2317" width="11.7109375" style="215" customWidth="1"/>
    <col min="2318" max="2344" width="8.42578125" style="215" customWidth="1"/>
    <col min="2345" max="2345" width="11.42578125" style="215" customWidth="1"/>
    <col min="2346" max="2346" width="9.42578125" style="215" customWidth="1"/>
    <col min="2347" max="2347" width="11.5703125" style="215" bestFit="1" customWidth="1"/>
    <col min="2348" max="2348" width="9.28515625" style="215" bestFit="1" customWidth="1"/>
    <col min="2349" max="2569" width="9.140625" style="215"/>
    <col min="2570" max="2570" width="3.7109375" style="215" customWidth="1"/>
    <col min="2571" max="2571" width="34.42578125" style="215" customWidth="1"/>
    <col min="2572" max="2572" width="11.5703125" style="215" customWidth="1"/>
    <col min="2573" max="2573" width="11.7109375" style="215" customWidth="1"/>
    <col min="2574" max="2600" width="8.42578125" style="215" customWidth="1"/>
    <col min="2601" max="2601" width="11.42578125" style="215" customWidth="1"/>
    <col min="2602" max="2602" width="9.42578125" style="215" customWidth="1"/>
    <col min="2603" max="2603" width="11.5703125" style="215" bestFit="1" customWidth="1"/>
    <col min="2604" max="2604" width="9.28515625" style="215" bestFit="1" customWidth="1"/>
    <col min="2605" max="2825" width="9.140625" style="215"/>
    <col min="2826" max="2826" width="3.7109375" style="215" customWidth="1"/>
    <col min="2827" max="2827" width="34.42578125" style="215" customWidth="1"/>
    <col min="2828" max="2828" width="11.5703125" style="215" customWidth="1"/>
    <col min="2829" max="2829" width="11.7109375" style="215" customWidth="1"/>
    <col min="2830" max="2856" width="8.42578125" style="215" customWidth="1"/>
    <col min="2857" max="2857" width="11.42578125" style="215" customWidth="1"/>
    <col min="2858" max="2858" width="9.42578125" style="215" customWidth="1"/>
    <col min="2859" max="2859" width="11.5703125" style="215" bestFit="1" customWidth="1"/>
    <col min="2860" max="2860" width="9.28515625" style="215" bestFit="1" customWidth="1"/>
    <col min="2861" max="3081" width="9.140625" style="215"/>
    <col min="3082" max="3082" width="3.7109375" style="215" customWidth="1"/>
    <col min="3083" max="3083" width="34.42578125" style="215" customWidth="1"/>
    <col min="3084" max="3084" width="11.5703125" style="215" customWidth="1"/>
    <col min="3085" max="3085" width="11.7109375" style="215" customWidth="1"/>
    <col min="3086" max="3112" width="8.42578125" style="215" customWidth="1"/>
    <col min="3113" max="3113" width="11.42578125" style="215" customWidth="1"/>
    <col min="3114" max="3114" width="9.42578125" style="215" customWidth="1"/>
    <col min="3115" max="3115" width="11.5703125" style="215" bestFit="1" customWidth="1"/>
    <col min="3116" max="3116" width="9.28515625" style="215" bestFit="1" customWidth="1"/>
    <col min="3117" max="3337" width="9.140625" style="215"/>
    <col min="3338" max="3338" width="3.7109375" style="215" customWidth="1"/>
    <col min="3339" max="3339" width="34.42578125" style="215" customWidth="1"/>
    <col min="3340" max="3340" width="11.5703125" style="215" customWidth="1"/>
    <col min="3341" max="3341" width="11.7109375" style="215" customWidth="1"/>
    <col min="3342" max="3368" width="8.42578125" style="215" customWidth="1"/>
    <col min="3369" max="3369" width="11.42578125" style="215" customWidth="1"/>
    <col min="3370" max="3370" width="9.42578125" style="215" customWidth="1"/>
    <col min="3371" max="3371" width="11.5703125" style="215" bestFit="1" customWidth="1"/>
    <col min="3372" max="3372" width="9.28515625" style="215" bestFit="1" customWidth="1"/>
    <col min="3373" max="3593" width="9.140625" style="215"/>
    <col min="3594" max="3594" width="3.7109375" style="215" customWidth="1"/>
    <col min="3595" max="3595" width="34.42578125" style="215" customWidth="1"/>
    <col min="3596" max="3596" width="11.5703125" style="215" customWidth="1"/>
    <col min="3597" max="3597" width="11.7109375" style="215" customWidth="1"/>
    <col min="3598" max="3624" width="8.42578125" style="215" customWidth="1"/>
    <col min="3625" max="3625" width="11.42578125" style="215" customWidth="1"/>
    <col min="3626" max="3626" width="9.42578125" style="215" customWidth="1"/>
    <col min="3627" max="3627" width="11.5703125" style="215" bestFit="1" customWidth="1"/>
    <col min="3628" max="3628" width="9.28515625" style="215" bestFit="1" customWidth="1"/>
    <col min="3629" max="3849" width="9.140625" style="215"/>
    <col min="3850" max="3850" width="3.7109375" style="215" customWidth="1"/>
    <col min="3851" max="3851" width="34.42578125" style="215" customWidth="1"/>
    <col min="3852" max="3852" width="11.5703125" style="215" customWidth="1"/>
    <col min="3853" max="3853" width="11.7109375" style="215" customWidth="1"/>
    <col min="3854" max="3880" width="8.42578125" style="215" customWidth="1"/>
    <col min="3881" max="3881" width="11.42578125" style="215" customWidth="1"/>
    <col min="3882" max="3882" width="9.42578125" style="215" customWidth="1"/>
    <col min="3883" max="3883" width="11.5703125" style="215" bestFit="1" customWidth="1"/>
    <col min="3884" max="3884" width="9.28515625" style="215" bestFit="1" customWidth="1"/>
    <col min="3885" max="4105" width="9.140625" style="215"/>
    <col min="4106" max="4106" width="3.7109375" style="215" customWidth="1"/>
    <col min="4107" max="4107" width="34.42578125" style="215" customWidth="1"/>
    <col min="4108" max="4108" width="11.5703125" style="215" customWidth="1"/>
    <col min="4109" max="4109" width="11.7109375" style="215" customWidth="1"/>
    <col min="4110" max="4136" width="8.42578125" style="215" customWidth="1"/>
    <col min="4137" max="4137" width="11.42578125" style="215" customWidth="1"/>
    <col min="4138" max="4138" width="9.42578125" style="215" customWidth="1"/>
    <col min="4139" max="4139" width="11.5703125" style="215" bestFit="1" customWidth="1"/>
    <col min="4140" max="4140" width="9.28515625" style="215" bestFit="1" customWidth="1"/>
    <col min="4141" max="4361" width="9.140625" style="215"/>
    <col min="4362" max="4362" width="3.7109375" style="215" customWidth="1"/>
    <col min="4363" max="4363" width="34.42578125" style="215" customWidth="1"/>
    <col min="4364" max="4364" width="11.5703125" style="215" customWidth="1"/>
    <col min="4365" max="4365" width="11.7109375" style="215" customWidth="1"/>
    <col min="4366" max="4392" width="8.42578125" style="215" customWidth="1"/>
    <col min="4393" max="4393" width="11.42578125" style="215" customWidth="1"/>
    <col min="4394" max="4394" width="9.42578125" style="215" customWidth="1"/>
    <col min="4395" max="4395" width="11.5703125" style="215" bestFit="1" customWidth="1"/>
    <col min="4396" max="4396" width="9.28515625" style="215" bestFit="1" customWidth="1"/>
    <col min="4397" max="4617" width="9.140625" style="215"/>
    <col min="4618" max="4618" width="3.7109375" style="215" customWidth="1"/>
    <col min="4619" max="4619" width="34.42578125" style="215" customWidth="1"/>
    <col min="4620" max="4620" width="11.5703125" style="215" customWidth="1"/>
    <col min="4621" max="4621" width="11.7109375" style="215" customWidth="1"/>
    <col min="4622" max="4648" width="8.42578125" style="215" customWidth="1"/>
    <col min="4649" max="4649" width="11.42578125" style="215" customWidth="1"/>
    <col min="4650" max="4650" width="9.42578125" style="215" customWidth="1"/>
    <col min="4651" max="4651" width="11.5703125" style="215" bestFit="1" customWidth="1"/>
    <col min="4652" max="4652" width="9.28515625" style="215" bestFit="1" customWidth="1"/>
    <col min="4653" max="4873" width="9.140625" style="215"/>
    <col min="4874" max="4874" width="3.7109375" style="215" customWidth="1"/>
    <col min="4875" max="4875" width="34.42578125" style="215" customWidth="1"/>
    <col min="4876" max="4876" width="11.5703125" style="215" customWidth="1"/>
    <col min="4877" max="4877" width="11.7109375" style="215" customWidth="1"/>
    <col min="4878" max="4904" width="8.42578125" style="215" customWidth="1"/>
    <col min="4905" max="4905" width="11.42578125" style="215" customWidth="1"/>
    <col min="4906" max="4906" width="9.42578125" style="215" customWidth="1"/>
    <col min="4907" max="4907" width="11.5703125" style="215" bestFit="1" customWidth="1"/>
    <col min="4908" max="4908" width="9.28515625" style="215" bestFit="1" customWidth="1"/>
    <col min="4909" max="5129" width="9.140625" style="215"/>
    <col min="5130" max="5130" width="3.7109375" style="215" customWidth="1"/>
    <col min="5131" max="5131" width="34.42578125" style="215" customWidth="1"/>
    <col min="5132" max="5132" width="11.5703125" style="215" customWidth="1"/>
    <col min="5133" max="5133" width="11.7109375" style="215" customWidth="1"/>
    <col min="5134" max="5160" width="8.42578125" style="215" customWidth="1"/>
    <col min="5161" max="5161" width="11.42578125" style="215" customWidth="1"/>
    <col min="5162" max="5162" width="9.42578125" style="215" customWidth="1"/>
    <col min="5163" max="5163" width="11.5703125" style="215" bestFit="1" customWidth="1"/>
    <col min="5164" max="5164" width="9.28515625" style="215" bestFit="1" customWidth="1"/>
    <col min="5165" max="5385" width="9.140625" style="215"/>
    <col min="5386" max="5386" width="3.7109375" style="215" customWidth="1"/>
    <col min="5387" max="5387" width="34.42578125" style="215" customWidth="1"/>
    <col min="5388" max="5388" width="11.5703125" style="215" customWidth="1"/>
    <col min="5389" max="5389" width="11.7109375" style="215" customWidth="1"/>
    <col min="5390" max="5416" width="8.42578125" style="215" customWidth="1"/>
    <col min="5417" max="5417" width="11.42578125" style="215" customWidth="1"/>
    <col min="5418" max="5418" width="9.42578125" style="215" customWidth="1"/>
    <col min="5419" max="5419" width="11.5703125" style="215" bestFit="1" customWidth="1"/>
    <col min="5420" max="5420" width="9.28515625" style="215" bestFit="1" customWidth="1"/>
    <col min="5421" max="5641" width="9.140625" style="215"/>
    <col min="5642" max="5642" width="3.7109375" style="215" customWidth="1"/>
    <col min="5643" max="5643" width="34.42578125" style="215" customWidth="1"/>
    <col min="5644" max="5644" width="11.5703125" style="215" customWidth="1"/>
    <col min="5645" max="5645" width="11.7109375" style="215" customWidth="1"/>
    <col min="5646" max="5672" width="8.42578125" style="215" customWidth="1"/>
    <col min="5673" max="5673" width="11.42578125" style="215" customWidth="1"/>
    <col min="5674" max="5674" width="9.42578125" style="215" customWidth="1"/>
    <col min="5675" max="5675" width="11.5703125" style="215" bestFit="1" customWidth="1"/>
    <col min="5676" max="5676" width="9.28515625" style="215" bestFit="1" customWidth="1"/>
    <col min="5677" max="5897" width="9.140625" style="215"/>
    <col min="5898" max="5898" width="3.7109375" style="215" customWidth="1"/>
    <col min="5899" max="5899" width="34.42578125" style="215" customWidth="1"/>
    <col min="5900" max="5900" width="11.5703125" style="215" customWidth="1"/>
    <col min="5901" max="5901" width="11.7109375" style="215" customWidth="1"/>
    <col min="5902" max="5928" width="8.42578125" style="215" customWidth="1"/>
    <col min="5929" max="5929" width="11.42578125" style="215" customWidth="1"/>
    <col min="5930" max="5930" width="9.42578125" style="215" customWidth="1"/>
    <col min="5931" max="5931" width="11.5703125" style="215" bestFit="1" customWidth="1"/>
    <col min="5932" max="5932" width="9.28515625" style="215" bestFit="1" customWidth="1"/>
    <col min="5933" max="6153" width="9.140625" style="215"/>
    <col min="6154" max="6154" width="3.7109375" style="215" customWidth="1"/>
    <col min="6155" max="6155" width="34.42578125" style="215" customWidth="1"/>
    <col min="6156" max="6156" width="11.5703125" style="215" customWidth="1"/>
    <col min="6157" max="6157" width="11.7109375" style="215" customWidth="1"/>
    <col min="6158" max="6184" width="8.42578125" style="215" customWidth="1"/>
    <col min="6185" max="6185" width="11.42578125" style="215" customWidth="1"/>
    <col min="6186" max="6186" width="9.42578125" style="215" customWidth="1"/>
    <col min="6187" max="6187" width="11.5703125" style="215" bestFit="1" customWidth="1"/>
    <col min="6188" max="6188" width="9.28515625" style="215" bestFit="1" customWidth="1"/>
    <col min="6189" max="6409" width="9.140625" style="215"/>
    <col min="6410" max="6410" width="3.7109375" style="215" customWidth="1"/>
    <col min="6411" max="6411" width="34.42578125" style="215" customWidth="1"/>
    <col min="6412" max="6412" width="11.5703125" style="215" customWidth="1"/>
    <col min="6413" max="6413" width="11.7109375" style="215" customWidth="1"/>
    <col min="6414" max="6440" width="8.42578125" style="215" customWidth="1"/>
    <col min="6441" max="6441" width="11.42578125" style="215" customWidth="1"/>
    <col min="6442" max="6442" width="9.42578125" style="215" customWidth="1"/>
    <col min="6443" max="6443" width="11.5703125" style="215" bestFit="1" customWidth="1"/>
    <col min="6444" max="6444" width="9.28515625" style="215" bestFit="1" customWidth="1"/>
    <col min="6445" max="6665" width="9.140625" style="215"/>
    <col min="6666" max="6666" width="3.7109375" style="215" customWidth="1"/>
    <col min="6667" max="6667" width="34.42578125" style="215" customWidth="1"/>
    <col min="6668" max="6668" width="11.5703125" style="215" customWidth="1"/>
    <col min="6669" max="6669" width="11.7109375" style="215" customWidth="1"/>
    <col min="6670" max="6696" width="8.42578125" style="215" customWidth="1"/>
    <col min="6697" max="6697" width="11.42578125" style="215" customWidth="1"/>
    <col min="6698" max="6698" width="9.42578125" style="215" customWidth="1"/>
    <col min="6699" max="6699" width="11.5703125" style="215" bestFit="1" customWidth="1"/>
    <col min="6700" max="6700" width="9.28515625" style="215" bestFit="1" customWidth="1"/>
    <col min="6701" max="6921" width="9.140625" style="215"/>
    <col min="6922" max="6922" width="3.7109375" style="215" customWidth="1"/>
    <col min="6923" max="6923" width="34.42578125" style="215" customWidth="1"/>
    <col min="6924" max="6924" width="11.5703125" style="215" customWidth="1"/>
    <col min="6925" max="6925" width="11.7109375" style="215" customWidth="1"/>
    <col min="6926" max="6952" width="8.42578125" style="215" customWidth="1"/>
    <col min="6953" max="6953" width="11.42578125" style="215" customWidth="1"/>
    <col min="6954" max="6954" width="9.42578125" style="215" customWidth="1"/>
    <col min="6955" max="6955" width="11.5703125" style="215" bestFit="1" customWidth="1"/>
    <col min="6956" max="6956" width="9.28515625" style="215" bestFit="1" customWidth="1"/>
    <col min="6957" max="7177" width="9.140625" style="215"/>
    <col min="7178" max="7178" width="3.7109375" style="215" customWidth="1"/>
    <col min="7179" max="7179" width="34.42578125" style="215" customWidth="1"/>
    <col min="7180" max="7180" width="11.5703125" style="215" customWidth="1"/>
    <col min="7181" max="7181" width="11.7109375" style="215" customWidth="1"/>
    <col min="7182" max="7208" width="8.42578125" style="215" customWidth="1"/>
    <col min="7209" max="7209" width="11.42578125" style="215" customWidth="1"/>
    <col min="7210" max="7210" width="9.42578125" style="215" customWidth="1"/>
    <col min="7211" max="7211" width="11.5703125" style="215" bestFit="1" customWidth="1"/>
    <col min="7212" max="7212" width="9.28515625" style="215" bestFit="1" customWidth="1"/>
    <col min="7213" max="7433" width="9.140625" style="215"/>
    <col min="7434" max="7434" width="3.7109375" style="215" customWidth="1"/>
    <col min="7435" max="7435" width="34.42578125" style="215" customWidth="1"/>
    <col min="7436" max="7436" width="11.5703125" style="215" customWidth="1"/>
    <col min="7437" max="7437" width="11.7109375" style="215" customWidth="1"/>
    <col min="7438" max="7464" width="8.42578125" style="215" customWidth="1"/>
    <col min="7465" max="7465" width="11.42578125" style="215" customWidth="1"/>
    <col min="7466" max="7466" width="9.42578125" style="215" customWidth="1"/>
    <col min="7467" max="7467" width="11.5703125" style="215" bestFit="1" customWidth="1"/>
    <col min="7468" max="7468" width="9.28515625" style="215" bestFit="1" customWidth="1"/>
    <col min="7469" max="7689" width="9.140625" style="215"/>
    <col min="7690" max="7690" width="3.7109375" style="215" customWidth="1"/>
    <col min="7691" max="7691" width="34.42578125" style="215" customWidth="1"/>
    <col min="7692" max="7692" width="11.5703125" style="215" customWidth="1"/>
    <col min="7693" max="7693" width="11.7109375" style="215" customWidth="1"/>
    <col min="7694" max="7720" width="8.42578125" style="215" customWidth="1"/>
    <col min="7721" max="7721" width="11.42578125" style="215" customWidth="1"/>
    <col min="7722" max="7722" width="9.42578125" style="215" customWidth="1"/>
    <col min="7723" max="7723" width="11.5703125" style="215" bestFit="1" customWidth="1"/>
    <col min="7724" max="7724" width="9.28515625" style="215" bestFit="1" customWidth="1"/>
    <col min="7725" max="7945" width="9.140625" style="215"/>
    <col min="7946" max="7946" width="3.7109375" style="215" customWidth="1"/>
    <col min="7947" max="7947" width="34.42578125" style="215" customWidth="1"/>
    <col min="7948" max="7948" width="11.5703125" style="215" customWidth="1"/>
    <col min="7949" max="7949" width="11.7109375" style="215" customWidth="1"/>
    <col min="7950" max="7976" width="8.42578125" style="215" customWidth="1"/>
    <col min="7977" max="7977" width="11.42578125" style="215" customWidth="1"/>
    <col min="7978" max="7978" width="9.42578125" style="215" customWidth="1"/>
    <col min="7979" max="7979" width="11.5703125" style="215" bestFit="1" customWidth="1"/>
    <col min="7980" max="7980" width="9.28515625" style="215" bestFit="1" customWidth="1"/>
    <col min="7981" max="8201" width="9.140625" style="215"/>
    <col min="8202" max="8202" width="3.7109375" style="215" customWidth="1"/>
    <col min="8203" max="8203" width="34.42578125" style="215" customWidth="1"/>
    <col min="8204" max="8204" width="11.5703125" style="215" customWidth="1"/>
    <col min="8205" max="8205" width="11.7109375" style="215" customWidth="1"/>
    <col min="8206" max="8232" width="8.42578125" style="215" customWidth="1"/>
    <col min="8233" max="8233" width="11.42578125" style="215" customWidth="1"/>
    <col min="8234" max="8234" width="9.42578125" style="215" customWidth="1"/>
    <col min="8235" max="8235" width="11.5703125" style="215" bestFit="1" customWidth="1"/>
    <col min="8236" max="8236" width="9.28515625" style="215" bestFit="1" customWidth="1"/>
    <col min="8237" max="8457" width="9.140625" style="215"/>
    <col min="8458" max="8458" width="3.7109375" style="215" customWidth="1"/>
    <col min="8459" max="8459" width="34.42578125" style="215" customWidth="1"/>
    <col min="8460" max="8460" width="11.5703125" style="215" customWidth="1"/>
    <col min="8461" max="8461" width="11.7109375" style="215" customWidth="1"/>
    <col min="8462" max="8488" width="8.42578125" style="215" customWidth="1"/>
    <col min="8489" max="8489" width="11.42578125" style="215" customWidth="1"/>
    <col min="8490" max="8490" width="9.42578125" style="215" customWidth="1"/>
    <col min="8491" max="8491" width="11.5703125" style="215" bestFit="1" customWidth="1"/>
    <col min="8492" max="8492" width="9.28515625" style="215" bestFit="1" customWidth="1"/>
    <col min="8493" max="8713" width="9.140625" style="215"/>
    <col min="8714" max="8714" width="3.7109375" style="215" customWidth="1"/>
    <col min="8715" max="8715" width="34.42578125" style="215" customWidth="1"/>
    <col min="8716" max="8716" width="11.5703125" style="215" customWidth="1"/>
    <col min="8717" max="8717" width="11.7109375" style="215" customWidth="1"/>
    <col min="8718" max="8744" width="8.42578125" style="215" customWidth="1"/>
    <col min="8745" max="8745" width="11.42578125" style="215" customWidth="1"/>
    <col min="8746" max="8746" width="9.42578125" style="215" customWidth="1"/>
    <col min="8747" max="8747" width="11.5703125" style="215" bestFit="1" customWidth="1"/>
    <col min="8748" max="8748" width="9.28515625" style="215" bestFit="1" customWidth="1"/>
    <col min="8749" max="8969" width="9.140625" style="215"/>
    <col min="8970" max="8970" width="3.7109375" style="215" customWidth="1"/>
    <col min="8971" max="8971" width="34.42578125" style="215" customWidth="1"/>
    <col min="8972" max="8972" width="11.5703125" style="215" customWidth="1"/>
    <col min="8973" max="8973" width="11.7109375" style="215" customWidth="1"/>
    <col min="8974" max="9000" width="8.42578125" style="215" customWidth="1"/>
    <col min="9001" max="9001" width="11.42578125" style="215" customWidth="1"/>
    <col min="9002" max="9002" width="9.42578125" style="215" customWidth="1"/>
    <col min="9003" max="9003" width="11.5703125" style="215" bestFit="1" customWidth="1"/>
    <col min="9004" max="9004" width="9.28515625" style="215" bestFit="1" customWidth="1"/>
    <col min="9005" max="9225" width="9.140625" style="215"/>
    <col min="9226" max="9226" width="3.7109375" style="215" customWidth="1"/>
    <col min="9227" max="9227" width="34.42578125" style="215" customWidth="1"/>
    <col min="9228" max="9228" width="11.5703125" style="215" customWidth="1"/>
    <col min="9229" max="9229" width="11.7109375" style="215" customWidth="1"/>
    <col min="9230" max="9256" width="8.42578125" style="215" customWidth="1"/>
    <col min="9257" max="9257" width="11.42578125" style="215" customWidth="1"/>
    <col min="9258" max="9258" width="9.42578125" style="215" customWidth="1"/>
    <col min="9259" max="9259" width="11.5703125" style="215" bestFit="1" customWidth="1"/>
    <col min="9260" max="9260" width="9.28515625" style="215" bestFit="1" customWidth="1"/>
    <col min="9261" max="9481" width="9.140625" style="215"/>
    <col min="9482" max="9482" width="3.7109375" style="215" customWidth="1"/>
    <col min="9483" max="9483" width="34.42578125" style="215" customWidth="1"/>
    <col min="9484" max="9484" width="11.5703125" style="215" customWidth="1"/>
    <col min="9485" max="9485" width="11.7109375" style="215" customWidth="1"/>
    <col min="9486" max="9512" width="8.42578125" style="215" customWidth="1"/>
    <col min="9513" max="9513" width="11.42578125" style="215" customWidth="1"/>
    <col min="9514" max="9514" width="9.42578125" style="215" customWidth="1"/>
    <col min="9515" max="9515" width="11.5703125" style="215" bestFit="1" customWidth="1"/>
    <col min="9516" max="9516" width="9.28515625" style="215" bestFit="1" customWidth="1"/>
    <col min="9517" max="9737" width="9.140625" style="215"/>
    <col min="9738" max="9738" width="3.7109375" style="215" customWidth="1"/>
    <col min="9739" max="9739" width="34.42578125" style="215" customWidth="1"/>
    <col min="9740" max="9740" width="11.5703125" style="215" customWidth="1"/>
    <col min="9741" max="9741" width="11.7109375" style="215" customWidth="1"/>
    <col min="9742" max="9768" width="8.42578125" style="215" customWidth="1"/>
    <col min="9769" max="9769" width="11.42578125" style="215" customWidth="1"/>
    <col min="9770" max="9770" width="9.42578125" style="215" customWidth="1"/>
    <col min="9771" max="9771" width="11.5703125" style="215" bestFit="1" customWidth="1"/>
    <col min="9772" max="9772" width="9.28515625" style="215" bestFit="1" customWidth="1"/>
    <col min="9773" max="9993" width="9.140625" style="215"/>
    <col min="9994" max="9994" width="3.7109375" style="215" customWidth="1"/>
    <col min="9995" max="9995" width="34.42578125" style="215" customWidth="1"/>
    <col min="9996" max="9996" width="11.5703125" style="215" customWidth="1"/>
    <col min="9997" max="9997" width="11.7109375" style="215" customWidth="1"/>
    <col min="9998" max="10024" width="8.42578125" style="215" customWidth="1"/>
    <col min="10025" max="10025" width="11.42578125" style="215" customWidth="1"/>
    <col min="10026" max="10026" width="9.42578125" style="215" customWidth="1"/>
    <col min="10027" max="10027" width="11.5703125" style="215" bestFit="1" customWidth="1"/>
    <col min="10028" max="10028" width="9.28515625" style="215" bestFit="1" customWidth="1"/>
    <col min="10029" max="10249" width="9.140625" style="215"/>
    <col min="10250" max="10250" width="3.7109375" style="215" customWidth="1"/>
    <col min="10251" max="10251" width="34.42578125" style="215" customWidth="1"/>
    <col min="10252" max="10252" width="11.5703125" style="215" customWidth="1"/>
    <col min="10253" max="10253" width="11.7109375" style="215" customWidth="1"/>
    <col min="10254" max="10280" width="8.42578125" style="215" customWidth="1"/>
    <col min="10281" max="10281" width="11.42578125" style="215" customWidth="1"/>
    <col min="10282" max="10282" width="9.42578125" style="215" customWidth="1"/>
    <col min="10283" max="10283" width="11.5703125" style="215" bestFit="1" customWidth="1"/>
    <col min="10284" max="10284" width="9.28515625" style="215" bestFit="1" customWidth="1"/>
    <col min="10285" max="10505" width="9.140625" style="215"/>
    <col min="10506" max="10506" width="3.7109375" style="215" customWidth="1"/>
    <col min="10507" max="10507" width="34.42578125" style="215" customWidth="1"/>
    <col min="10508" max="10508" width="11.5703125" style="215" customWidth="1"/>
    <col min="10509" max="10509" width="11.7109375" style="215" customWidth="1"/>
    <col min="10510" max="10536" width="8.42578125" style="215" customWidth="1"/>
    <col min="10537" max="10537" width="11.42578125" style="215" customWidth="1"/>
    <col min="10538" max="10538" width="9.42578125" style="215" customWidth="1"/>
    <col min="10539" max="10539" width="11.5703125" style="215" bestFit="1" customWidth="1"/>
    <col min="10540" max="10540" width="9.28515625" style="215" bestFit="1" customWidth="1"/>
    <col min="10541" max="10761" width="9.140625" style="215"/>
    <col min="10762" max="10762" width="3.7109375" style="215" customWidth="1"/>
    <col min="10763" max="10763" width="34.42578125" style="215" customWidth="1"/>
    <col min="10764" max="10764" width="11.5703125" style="215" customWidth="1"/>
    <col min="10765" max="10765" width="11.7109375" style="215" customWidth="1"/>
    <col min="10766" max="10792" width="8.42578125" style="215" customWidth="1"/>
    <col min="10793" max="10793" width="11.42578125" style="215" customWidth="1"/>
    <col min="10794" max="10794" width="9.42578125" style="215" customWidth="1"/>
    <col min="10795" max="10795" width="11.5703125" style="215" bestFit="1" customWidth="1"/>
    <col min="10796" max="10796" width="9.28515625" style="215" bestFit="1" customWidth="1"/>
    <col min="10797" max="11017" width="9.140625" style="215"/>
    <col min="11018" max="11018" width="3.7109375" style="215" customWidth="1"/>
    <col min="11019" max="11019" width="34.42578125" style="215" customWidth="1"/>
    <col min="11020" max="11020" width="11.5703125" style="215" customWidth="1"/>
    <col min="11021" max="11021" width="11.7109375" style="215" customWidth="1"/>
    <col min="11022" max="11048" width="8.42578125" style="215" customWidth="1"/>
    <col min="11049" max="11049" width="11.42578125" style="215" customWidth="1"/>
    <col min="11050" max="11050" width="9.42578125" style="215" customWidth="1"/>
    <col min="11051" max="11051" width="11.5703125" style="215" bestFit="1" customWidth="1"/>
    <col min="11052" max="11052" width="9.28515625" style="215" bestFit="1" customWidth="1"/>
    <col min="11053" max="11273" width="9.140625" style="215"/>
    <col min="11274" max="11274" width="3.7109375" style="215" customWidth="1"/>
    <col min="11275" max="11275" width="34.42578125" style="215" customWidth="1"/>
    <col min="11276" max="11276" width="11.5703125" style="215" customWidth="1"/>
    <col min="11277" max="11277" width="11.7109375" style="215" customWidth="1"/>
    <col min="11278" max="11304" width="8.42578125" style="215" customWidth="1"/>
    <col min="11305" max="11305" width="11.42578125" style="215" customWidth="1"/>
    <col min="11306" max="11306" width="9.42578125" style="215" customWidth="1"/>
    <col min="11307" max="11307" width="11.5703125" style="215" bestFit="1" customWidth="1"/>
    <col min="11308" max="11308" width="9.28515625" style="215" bestFit="1" customWidth="1"/>
    <col min="11309" max="11529" width="9.140625" style="215"/>
    <col min="11530" max="11530" width="3.7109375" style="215" customWidth="1"/>
    <col min="11531" max="11531" width="34.42578125" style="215" customWidth="1"/>
    <col min="11532" max="11532" width="11.5703125" style="215" customWidth="1"/>
    <col min="11533" max="11533" width="11.7109375" style="215" customWidth="1"/>
    <col min="11534" max="11560" width="8.42578125" style="215" customWidth="1"/>
    <col min="11561" max="11561" width="11.42578125" style="215" customWidth="1"/>
    <col min="11562" max="11562" width="9.42578125" style="215" customWidth="1"/>
    <col min="11563" max="11563" width="11.5703125" style="215" bestFit="1" customWidth="1"/>
    <col min="11564" max="11564" width="9.28515625" style="215" bestFit="1" customWidth="1"/>
    <col min="11565" max="11785" width="9.140625" style="215"/>
    <col min="11786" max="11786" width="3.7109375" style="215" customWidth="1"/>
    <col min="11787" max="11787" width="34.42578125" style="215" customWidth="1"/>
    <col min="11788" max="11788" width="11.5703125" style="215" customWidth="1"/>
    <col min="11789" max="11789" width="11.7109375" style="215" customWidth="1"/>
    <col min="11790" max="11816" width="8.42578125" style="215" customWidth="1"/>
    <col min="11817" max="11817" width="11.42578125" style="215" customWidth="1"/>
    <col min="11818" max="11818" width="9.42578125" style="215" customWidth="1"/>
    <col min="11819" max="11819" width="11.5703125" style="215" bestFit="1" customWidth="1"/>
    <col min="11820" max="11820" width="9.28515625" style="215" bestFit="1" customWidth="1"/>
    <col min="11821" max="12041" width="9.140625" style="215"/>
    <col min="12042" max="12042" width="3.7109375" style="215" customWidth="1"/>
    <col min="12043" max="12043" width="34.42578125" style="215" customWidth="1"/>
    <col min="12044" max="12044" width="11.5703125" style="215" customWidth="1"/>
    <col min="12045" max="12045" width="11.7109375" style="215" customWidth="1"/>
    <col min="12046" max="12072" width="8.42578125" style="215" customWidth="1"/>
    <col min="12073" max="12073" width="11.42578125" style="215" customWidth="1"/>
    <col min="12074" max="12074" width="9.42578125" style="215" customWidth="1"/>
    <col min="12075" max="12075" width="11.5703125" style="215" bestFit="1" customWidth="1"/>
    <col min="12076" max="12076" width="9.28515625" style="215" bestFit="1" customWidth="1"/>
    <col min="12077" max="12297" width="9.140625" style="215"/>
    <col min="12298" max="12298" width="3.7109375" style="215" customWidth="1"/>
    <col min="12299" max="12299" width="34.42578125" style="215" customWidth="1"/>
    <col min="12300" max="12300" width="11.5703125" style="215" customWidth="1"/>
    <col min="12301" max="12301" width="11.7109375" style="215" customWidth="1"/>
    <col min="12302" max="12328" width="8.42578125" style="215" customWidth="1"/>
    <col min="12329" max="12329" width="11.42578125" style="215" customWidth="1"/>
    <col min="12330" max="12330" width="9.42578125" style="215" customWidth="1"/>
    <col min="12331" max="12331" width="11.5703125" style="215" bestFit="1" customWidth="1"/>
    <col min="12332" max="12332" width="9.28515625" style="215" bestFit="1" customWidth="1"/>
    <col min="12333" max="12553" width="9.140625" style="215"/>
    <col min="12554" max="12554" width="3.7109375" style="215" customWidth="1"/>
    <col min="12555" max="12555" width="34.42578125" style="215" customWidth="1"/>
    <col min="12556" max="12556" width="11.5703125" style="215" customWidth="1"/>
    <col min="12557" max="12557" width="11.7109375" style="215" customWidth="1"/>
    <col min="12558" max="12584" width="8.42578125" style="215" customWidth="1"/>
    <col min="12585" max="12585" width="11.42578125" style="215" customWidth="1"/>
    <col min="12586" max="12586" width="9.42578125" style="215" customWidth="1"/>
    <col min="12587" max="12587" width="11.5703125" style="215" bestFit="1" customWidth="1"/>
    <col min="12588" max="12588" width="9.28515625" style="215" bestFit="1" customWidth="1"/>
    <col min="12589" max="12809" width="9.140625" style="215"/>
    <col min="12810" max="12810" width="3.7109375" style="215" customWidth="1"/>
    <col min="12811" max="12811" width="34.42578125" style="215" customWidth="1"/>
    <col min="12812" max="12812" width="11.5703125" style="215" customWidth="1"/>
    <col min="12813" max="12813" width="11.7109375" style="215" customWidth="1"/>
    <col min="12814" max="12840" width="8.42578125" style="215" customWidth="1"/>
    <col min="12841" max="12841" width="11.42578125" style="215" customWidth="1"/>
    <col min="12842" max="12842" width="9.42578125" style="215" customWidth="1"/>
    <col min="12843" max="12843" width="11.5703125" style="215" bestFit="1" customWidth="1"/>
    <col min="12844" max="12844" width="9.28515625" style="215" bestFit="1" customWidth="1"/>
    <col min="12845" max="13065" width="9.140625" style="215"/>
    <col min="13066" max="13066" width="3.7109375" style="215" customWidth="1"/>
    <col min="13067" max="13067" width="34.42578125" style="215" customWidth="1"/>
    <col min="13068" max="13068" width="11.5703125" style="215" customWidth="1"/>
    <col min="13069" max="13069" width="11.7109375" style="215" customWidth="1"/>
    <col min="13070" max="13096" width="8.42578125" style="215" customWidth="1"/>
    <col min="13097" max="13097" width="11.42578125" style="215" customWidth="1"/>
    <col min="13098" max="13098" width="9.42578125" style="215" customWidth="1"/>
    <col min="13099" max="13099" width="11.5703125" style="215" bestFit="1" customWidth="1"/>
    <col min="13100" max="13100" width="9.28515625" style="215" bestFit="1" customWidth="1"/>
    <col min="13101" max="13321" width="9.140625" style="215"/>
    <col min="13322" max="13322" width="3.7109375" style="215" customWidth="1"/>
    <col min="13323" max="13323" width="34.42578125" style="215" customWidth="1"/>
    <col min="13324" max="13324" width="11.5703125" style="215" customWidth="1"/>
    <col min="13325" max="13325" width="11.7109375" style="215" customWidth="1"/>
    <col min="13326" max="13352" width="8.42578125" style="215" customWidth="1"/>
    <col min="13353" max="13353" width="11.42578125" style="215" customWidth="1"/>
    <col min="13354" max="13354" width="9.42578125" style="215" customWidth="1"/>
    <col min="13355" max="13355" width="11.5703125" style="215" bestFit="1" customWidth="1"/>
    <col min="13356" max="13356" width="9.28515625" style="215" bestFit="1" customWidth="1"/>
    <col min="13357" max="13577" width="9.140625" style="215"/>
    <col min="13578" max="13578" width="3.7109375" style="215" customWidth="1"/>
    <col min="13579" max="13579" width="34.42578125" style="215" customWidth="1"/>
    <col min="13580" max="13580" width="11.5703125" style="215" customWidth="1"/>
    <col min="13581" max="13581" width="11.7109375" style="215" customWidth="1"/>
    <col min="13582" max="13608" width="8.42578125" style="215" customWidth="1"/>
    <col min="13609" max="13609" width="11.42578125" style="215" customWidth="1"/>
    <col min="13610" max="13610" width="9.42578125" style="215" customWidth="1"/>
    <col min="13611" max="13611" width="11.5703125" style="215" bestFit="1" customWidth="1"/>
    <col min="13612" max="13612" width="9.28515625" style="215" bestFit="1" customWidth="1"/>
    <col min="13613" max="13833" width="9.140625" style="215"/>
    <col min="13834" max="13834" width="3.7109375" style="215" customWidth="1"/>
    <col min="13835" max="13835" width="34.42578125" style="215" customWidth="1"/>
    <col min="13836" max="13836" width="11.5703125" style="215" customWidth="1"/>
    <col min="13837" max="13837" width="11.7109375" style="215" customWidth="1"/>
    <col min="13838" max="13864" width="8.42578125" style="215" customWidth="1"/>
    <col min="13865" max="13865" width="11.42578125" style="215" customWidth="1"/>
    <col min="13866" max="13866" width="9.42578125" style="215" customWidth="1"/>
    <col min="13867" max="13867" width="11.5703125" style="215" bestFit="1" customWidth="1"/>
    <col min="13868" max="13868" width="9.28515625" style="215" bestFit="1" customWidth="1"/>
    <col min="13869" max="14089" width="9.140625" style="215"/>
    <col min="14090" max="14090" width="3.7109375" style="215" customWidth="1"/>
    <col min="14091" max="14091" width="34.42578125" style="215" customWidth="1"/>
    <col min="14092" max="14092" width="11.5703125" style="215" customWidth="1"/>
    <col min="14093" max="14093" width="11.7109375" style="215" customWidth="1"/>
    <col min="14094" max="14120" width="8.42578125" style="215" customWidth="1"/>
    <col min="14121" max="14121" width="11.42578125" style="215" customWidth="1"/>
    <col min="14122" max="14122" width="9.42578125" style="215" customWidth="1"/>
    <col min="14123" max="14123" width="11.5703125" style="215" bestFit="1" customWidth="1"/>
    <col min="14124" max="14124" width="9.28515625" style="215" bestFit="1" customWidth="1"/>
    <col min="14125" max="14345" width="9.140625" style="215"/>
    <col min="14346" max="14346" width="3.7109375" style="215" customWidth="1"/>
    <col min="14347" max="14347" width="34.42578125" style="215" customWidth="1"/>
    <col min="14348" max="14348" width="11.5703125" style="215" customWidth="1"/>
    <col min="14349" max="14349" width="11.7109375" style="215" customWidth="1"/>
    <col min="14350" max="14376" width="8.42578125" style="215" customWidth="1"/>
    <col min="14377" max="14377" width="11.42578125" style="215" customWidth="1"/>
    <col min="14378" max="14378" width="9.42578125" style="215" customWidth="1"/>
    <col min="14379" max="14379" width="11.5703125" style="215" bestFit="1" customWidth="1"/>
    <col min="14380" max="14380" width="9.28515625" style="215" bestFit="1" customWidth="1"/>
    <col min="14381" max="14601" width="9.140625" style="215"/>
    <col min="14602" max="14602" width="3.7109375" style="215" customWidth="1"/>
    <col min="14603" max="14603" width="34.42578125" style="215" customWidth="1"/>
    <col min="14604" max="14604" width="11.5703125" style="215" customWidth="1"/>
    <col min="14605" max="14605" width="11.7109375" style="215" customWidth="1"/>
    <col min="14606" max="14632" width="8.42578125" style="215" customWidth="1"/>
    <col min="14633" max="14633" width="11.42578125" style="215" customWidth="1"/>
    <col min="14634" max="14634" width="9.42578125" style="215" customWidth="1"/>
    <col min="14635" max="14635" width="11.5703125" style="215" bestFit="1" customWidth="1"/>
    <col min="14636" max="14636" width="9.28515625" style="215" bestFit="1" customWidth="1"/>
    <col min="14637" max="14857" width="9.140625" style="215"/>
    <col min="14858" max="14858" width="3.7109375" style="215" customWidth="1"/>
    <col min="14859" max="14859" width="34.42578125" style="215" customWidth="1"/>
    <col min="14860" max="14860" width="11.5703125" style="215" customWidth="1"/>
    <col min="14861" max="14861" width="11.7109375" style="215" customWidth="1"/>
    <col min="14862" max="14888" width="8.42578125" style="215" customWidth="1"/>
    <col min="14889" max="14889" width="11.42578125" style="215" customWidth="1"/>
    <col min="14890" max="14890" width="9.42578125" style="215" customWidth="1"/>
    <col min="14891" max="14891" width="11.5703125" style="215" bestFit="1" customWidth="1"/>
    <col min="14892" max="14892" width="9.28515625" style="215" bestFit="1" customWidth="1"/>
    <col min="14893" max="15113" width="9.140625" style="215"/>
    <col min="15114" max="15114" width="3.7109375" style="215" customWidth="1"/>
    <col min="15115" max="15115" width="34.42578125" style="215" customWidth="1"/>
    <col min="15116" max="15116" width="11.5703125" style="215" customWidth="1"/>
    <col min="15117" max="15117" width="11.7109375" style="215" customWidth="1"/>
    <col min="15118" max="15144" width="8.42578125" style="215" customWidth="1"/>
    <col min="15145" max="15145" width="11.42578125" style="215" customWidth="1"/>
    <col min="15146" max="15146" width="9.42578125" style="215" customWidth="1"/>
    <col min="15147" max="15147" width="11.5703125" style="215" bestFit="1" customWidth="1"/>
    <col min="15148" max="15148" width="9.28515625" style="215" bestFit="1" customWidth="1"/>
    <col min="15149" max="15369" width="9.140625" style="215"/>
    <col min="15370" max="15370" width="3.7109375" style="215" customWidth="1"/>
    <col min="15371" max="15371" width="34.42578125" style="215" customWidth="1"/>
    <col min="15372" max="15372" width="11.5703125" style="215" customWidth="1"/>
    <col min="15373" max="15373" width="11.7109375" style="215" customWidth="1"/>
    <col min="15374" max="15400" width="8.42578125" style="215" customWidth="1"/>
    <col min="15401" max="15401" width="11.42578125" style="215" customWidth="1"/>
    <col min="15402" max="15402" width="9.42578125" style="215" customWidth="1"/>
    <col min="15403" max="15403" width="11.5703125" style="215" bestFit="1" customWidth="1"/>
    <col min="15404" max="15404" width="9.28515625" style="215" bestFit="1" customWidth="1"/>
    <col min="15405" max="15625" width="9.140625" style="215"/>
    <col min="15626" max="15626" width="3.7109375" style="215" customWidth="1"/>
    <col min="15627" max="15627" width="34.42578125" style="215" customWidth="1"/>
    <col min="15628" max="15628" width="11.5703125" style="215" customWidth="1"/>
    <col min="15629" max="15629" width="11.7109375" style="215" customWidth="1"/>
    <col min="15630" max="15656" width="8.42578125" style="215" customWidth="1"/>
    <col min="15657" max="15657" width="11.42578125" style="215" customWidth="1"/>
    <col min="15658" max="15658" width="9.42578125" style="215" customWidth="1"/>
    <col min="15659" max="15659" width="11.5703125" style="215" bestFit="1" customWidth="1"/>
    <col min="15660" max="15660" width="9.28515625" style="215" bestFit="1" customWidth="1"/>
    <col min="15661" max="15881" width="9.140625" style="215"/>
    <col min="15882" max="15882" width="3.7109375" style="215" customWidth="1"/>
    <col min="15883" max="15883" width="34.42578125" style="215" customWidth="1"/>
    <col min="15884" max="15884" width="11.5703125" style="215" customWidth="1"/>
    <col min="15885" max="15885" width="11.7109375" style="215" customWidth="1"/>
    <col min="15886" max="15912" width="8.42578125" style="215" customWidth="1"/>
    <col min="15913" max="15913" width="11.42578125" style="215" customWidth="1"/>
    <col min="15914" max="15914" width="9.42578125" style="215" customWidth="1"/>
    <col min="15915" max="15915" width="11.5703125" style="215" bestFit="1" customWidth="1"/>
    <col min="15916" max="15916" width="9.28515625" style="215" bestFit="1" customWidth="1"/>
    <col min="15917" max="16137" width="9.140625" style="215"/>
    <col min="16138" max="16138" width="3.7109375" style="215" customWidth="1"/>
    <col min="16139" max="16139" width="34.42578125" style="215" customWidth="1"/>
    <col min="16140" max="16140" width="11.5703125" style="215" customWidth="1"/>
    <col min="16141" max="16141" width="11.7109375" style="215" customWidth="1"/>
    <col min="16142" max="16168" width="8.42578125" style="215" customWidth="1"/>
    <col min="16169" max="16169" width="11.42578125" style="215" customWidth="1"/>
    <col min="16170" max="16170" width="9.42578125" style="215" customWidth="1"/>
    <col min="16171" max="16171" width="11.5703125" style="215" bestFit="1" customWidth="1"/>
    <col min="16172" max="16172" width="9.28515625" style="215" bestFit="1" customWidth="1"/>
    <col min="16173" max="16384" width="9.140625" style="215"/>
  </cols>
  <sheetData>
    <row r="1" spans="1:49" hidden="1" outlineLevel="1" x14ac:dyDescent="0.2">
      <c r="D1" s="163" t="s">
        <v>73</v>
      </c>
      <c r="E1" s="164">
        <f>E56+'табель сирот'!D43</f>
        <v>1</v>
      </c>
      <c r="F1" s="164">
        <f>F55+'табель сирот'!E43</f>
        <v>1</v>
      </c>
      <c r="G1" s="164">
        <f>G55+'табель сирот'!F43</f>
        <v>1</v>
      </c>
      <c r="H1" s="164">
        <f>H55+'табель сирот'!G43</f>
        <v>1</v>
      </c>
      <c r="I1" s="164">
        <f>I55+'табель сирот'!H43</f>
        <v>0</v>
      </c>
      <c r="J1" s="164">
        <f>J55+'табель сирот'!I43</f>
        <v>1</v>
      </c>
      <c r="K1" s="164"/>
      <c r="L1" s="164">
        <f>L55+'табель сирот'!K43</f>
        <v>0</v>
      </c>
      <c r="M1" s="164"/>
      <c r="N1" s="164">
        <f>N55+'табель сирот'!M43</f>
        <v>1</v>
      </c>
      <c r="O1" s="164">
        <f>O55+'табель сирот'!N43</f>
        <v>0</v>
      </c>
      <c r="P1" s="164">
        <f>P55+'табель сирот'!O43</f>
        <v>0</v>
      </c>
      <c r="Q1" s="164">
        <f>Q55+'табель сирот'!P43</f>
        <v>1</v>
      </c>
      <c r="R1" s="164"/>
      <c r="S1" s="164">
        <f>S55+'табель сирот'!R43</f>
        <v>2</v>
      </c>
      <c r="T1" s="164">
        <f>T55+'табель сирот'!S43</f>
        <v>2</v>
      </c>
      <c r="U1" s="164">
        <f>U55+'табель сирот'!T43</f>
        <v>1</v>
      </c>
      <c r="V1" s="164">
        <f>V55+'табель сирот'!U43</f>
        <v>0</v>
      </c>
      <c r="W1" s="164">
        <f>W55+'табель сирот'!V43</f>
        <v>0</v>
      </c>
      <c r="X1" s="164">
        <f>X55+'табель сирот'!W43</f>
        <v>1</v>
      </c>
      <c r="Y1" s="164">
        <f>Y55+'табель сирот'!Y43</f>
        <v>1</v>
      </c>
      <c r="Z1" s="164">
        <f>Z55+'табель сирот'!Z43</f>
        <v>2</v>
      </c>
      <c r="AA1" s="164">
        <f>AA55+'табель сирот'!AA43</f>
        <v>2</v>
      </c>
      <c r="AB1" s="164">
        <f>AB55+'табель сирот'!AB43</f>
        <v>0</v>
      </c>
      <c r="AC1" s="164">
        <f>AC55+'табель сирот'!AC43</f>
        <v>0</v>
      </c>
      <c r="AD1" s="164"/>
      <c r="AE1" s="164"/>
      <c r="AF1" s="164">
        <f>AF55+'табель сирот'!AD43</f>
        <v>1</v>
      </c>
      <c r="AG1" s="164"/>
      <c r="AH1" s="164">
        <f>AH55+'табель сирот'!AF43</f>
        <v>2</v>
      </c>
      <c r="AI1" s="164">
        <f>AI55+'табель сирот'!AH43</f>
        <v>1</v>
      </c>
      <c r="AJ1" s="164">
        <f>AJ55+'табель сирот'!AI43</f>
        <v>0</v>
      </c>
      <c r="AK1" s="164">
        <f>AK55+'табель сирот'!AJ43</f>
        <v>0</v>
      </c>
      <c r="AL1" s="164"/>
      <c r="AM1" s="164"/>
      <c r="AN1" s="164"/>
      <c r="AO1" s="164"/>
      <c r="AP1" s="164"/>
      <c r="AQ1" s="164"/>
    </row>
    <row r="2" spans="1:49" hidden="1" outlineLevel="1" x14ac:dyDescent="0.2">
      <c r="D2" s="165" t="s">
        <v>74</v>
      </c>
      <c r="E2" s="166" t="e">
        <f>E57+'табель сирот'!D44</f>
        <v>#REF!</v>
      </c>
      <c r="F2" s="166" t="e">
        <f>F56+'табель сирот'!E44</f>
        <v>#REF!</v>
      </c>
      <c r="G2" s="166" t="e">
        <f>G56+'табель сирот'!F44</f>
        <v>#REF!</v>
      </c>
      <c r="H2" s="166" t="e">
        <f>H56+'табель сирот'!G44</f>
        <v>#REF!</v>
      </c>
      <c r="I2" s="166" t="e">
        <f>I56+'табель сирот'!H44</f>
        <v>#REF!</v>
      </c>
      <c r="J2" s="166" t="e">
        <f>J56+'табель сирот'!I44</f>
        <v>#REF!</v>
      </c>
      <c r="K2" s="166"/>
      <c r="L2" s="166" t="e">
        <f>L56+'табель сирот'!K44</f>
        <v>#REF!</v>
      </c>
      <c r="M2" s="166"/>
      <c r="N2" s="166" t="e">
        <f>N56+'табель сирот'!M44</f>
        <v>#REF!</v>
      </c>
      <c r="O2" s="166" t="e">
        <f>O56+'табель сирот'!N44</f>
        <v>#REF!</v>
      </c>
      <c r="P2" s="166" t="e">
        <f>P56+'табель сирот'!O44</f>
        <v>#REF!</v>
      </c>
      <c r="Q2" s="166" t="e">
        <f>Q56+'табель сирот'!P44</f>
        <v>#REF!</v>
      </c>
      <c r="R2" s="166"/>
      <c r="S2" s="166" t="e">
        <f>S56+'табель сирот'!R44</f>
        <v>#REF!</v>
      </c>
      <c r="T2" s="166" t="e">
        <f>T56+'табель сирот'!S44</f>
        <v>#REF!</v>
      </c>
      <c r="U2" s="166" t="e">
        <f>U56+'табель сирот'!T44</f>
        <v>#REF!</v>
      </c>
      <c r="V2" s="166" t="e">
        <f>V56+'табель сирот'!U44</f>
        <v>#REF!</v>
      </c>
      <c r="W2" s="166" t="e">
        <f>W56+'табель сирот'!V44</f>
        <v>#REF!</v>
      </c>
      <c r="X2" s="166" t="e">
        <f>X56+'табель сирот'!W44</f>
        <v>#REF!</v>
      </c>
      <c r="Y2" s="166" t="e">
        <f>Y56+'табель сирот'!Y44</f>
        <v>#REF!</v>
      </c>
      <c r="Z2" s="166" t="e">
        <f>Z56+'табель сирот'!Z44</f>
        <v>#REF!</v>
      </c>
      <c r="AA2" s="166" t="e">
        <f>AA56+'табель сирот'!AA44</f>
        <v>#REF!</v>
      </c>
      <c r="AB2" s="166" t="e">
        <f>AB56+'табель сирот'!AB44</f>
        <v>#REF!</v>
      </c>
      <c r="AC2" s="166" t="e">
        <f>AC56+'табель сирот'!AC44</f>
        <v>#REF!</v>
      </c>
      <c r="AD2" s="166"/>
      <c r="AE2" s="166"/>
      <c r="AF2" s="166" t="e">
        <f>AF56+'табель сирот'!AD44</f>
        <v>#REF!</v>
      </c>
      <c r="AG2" s="166"/>
      <c r="AH2" s="166" t="e">
        <f>AH56+'табель сирот'!AF44</f>
        <v>#REF!</v>
      </c>
      <c r="AI2" s="166" t="e">
        <f>AI56+'табель сирот'!AH44</f>
        <v>#REF!</v>
      </c>
      <c r="AJ2" s="166" t="e">
        <f>AJ56+'табель сирот'!AI44</f>
        <v>#REF!</v>
      </c>
      <c r="AK2" s="166" t="e">
        <f>AK56+'табель сирот'!AJ44</f>
        <v>#REF!</v>
      </c>
      <c r="AL2" s="166"/>
      <c r="AM2" s="166"/>
      <c r="AN2" s="166"/>
      <c r="AO2" s="166"/>
      <c r="AP2" s="166"/>
      <c r="AQ2" s="166"/>
    </row>
    <row r="3" spans="1:49" hidden="1" outlineLevel="1" x14ac:dyDescent="0.2">
      <c r="D3" s="167" t="s">
        <v>75</v>
      </c>
      <c r="E3" s="168" t="e">
        <f>E58+'табель сирот'!D45</f>
        <v>#REF!</v>
      </c>
      <c r="F3" s="168" t="e">
        <f>F57+'табель сирот'!E45</f>
        <v>#REF!</v>
      </c>
      <c r="G3" s="168" t="e">
        <f>G57+'табель сирот'!F45</f>
        <v>#REF!</v>
      </c>
      <c r="H3" s="168" t="e">
        <f>H57+'табель сирот'!G45</f>
        <v>#REF!</v>
      </c>
      <c r="I3" s="168" t="e">
        <f>I57+'табель сирот'!H45</f>
        <v>#REF!</v>
      </c>
      <c r="J3" s="168" t="e">
        <f>J57+'табель сирот'!I45</f>
        <v>#REF!</v>
      </c>
      <c r="K3" s="168"/>
      <c r="L3" s="168" t="e">
        <f>L57+'табель сирот'!K45</f>
        <v>#REF!</v>
      </c>
      <c r="M3" s="168"/>
      <c r="N3" s="168" t="e">
        <f>N57+'табель сирот'!M45</f>
        <v>#REF!</v>
      </c>
      <c r="O3" s="168" t="e">
        <f>O57+'табель сирот'!N45</f>
        <v>#REF!</v>
      </c>
      <c r="P3" s="168" t="e">
        <f>P57+'табель сирот'!O45</f>
        <v>#REF!</v>
      </c>
      <c r="Q3" s="168" t="e">
        <f>Q57+'табель сирот'!P45</f>
        <v>#REF!</v>
      </c>
      <c r="R3" s="168"/>
      <c r="S3" s="168" t="e">
        <f>S57+'табель сирот'!R45</f>
        <v>#REF!</v>
      </c>
      <c r="T3" s="168" t="e">
        <f>T57+'табель сирот'!S45</f>
        <v>#REF!</v>
      </c>
      <c r="U3" s="168" t="e">
        <f>U57+'табель сирот'!T45</f>
        <v>#REF!</v>
      </c>
      <c r="V3" s="168" t="e">
        <f>V57+'табель сирот'!U45</f>
        <v>#REF!</v>
      </c>
      <c r="W3" s="168" t="e">
        <f>W57+'табель сирот'!V45</f>
        <v>#REF!</v>
      </c>
      <c r="X3" s="168" t="e">
        <f>X57+'табель сирот'!W45</f>
        <v>#REF!</v>
      </c>
      <c r="Y3" s="168" t="e">
        <f>Y57+'табель сирот'!Y45</f>
        <v>#REF!</v>
      </c>
      <c r="Z3" s="168" t="e">
        <f>Z57+'табель сирот'!Z45</f>
        <v>#REF!</v>
      </c>
      <c r="AA3" s="168" t="e">
        <f>AA57+'табель сирот'!AA45</f>
        <v>#REF!</v>
      </c>
      <c r="AB3" s="168" t="e">
        <f>AB57+'табель сирот'!AB45</f>
        <v>#REF!</v>
      </c>
      <c r="AC3" s="168" t="e">
        <f>AC57+'табель сирот'!AC45</f>
        <v>#REF!</v>
      </c>
      <c r="AD3" s="168"/>
      <c r="AE3" s="168"/>
      <c r="AF3" s="168" t="e">
        <f>AF57+'табель сирот'!AD45</f>
        <v>#REF!</v>
      </c>
      <c r="AG3" s="168"/>
      <c r="AH3" s="168" t="e">
        <f>AH57+'табель сирот'!AF45</f>
        <v>#REF!</v>
      </c>
      <c r="AI3" s="168" t="e">
        <f>AI57+'табель сирот'!AH45</f>
        <v>#REF!</v>
      </c>
      <c r="AJ3" s="168" t="e">
        <f>AJ57+'табель сирот'!AI45</f>
        <v>#REF!</v>
      </c>
      <c r="AK3" s="168" t="e">
        <f>AK57+'табель сирот'!AJ45</f>
        <v>#REF!</v>
      </c>
      <c r="AL3" s="168"/>
      <c r="AM3" s="168"/>
      <c r="AN3" s="168"/>
      <c r="AO3" s="168"/>
      <c r="AP3" s="168"/>
      <c r="AQ3" s="168"/>
    </row>
    <row r="4" spans="1:49" hidden="1" outlineLevel="1" x14ac:dyDescent="0.2">
      <c r="D4" s="169" t="s">
        <v>76</v>
      </c>
      <c r="E4" s="170">
        <f>E59+'табель сирот'!D46</f>
        <v>0</v>
      </c>
      <c r="F4" s="170" t="e">
        <f>F58+'табель сирот'!E46</f>
        <v>#REF!</v>
      </c>
      <c r="G4" s="170" t="e">
        <f>G58+'табель сирот'!F46</f>
        <v>#REF!</v>
      </c>
      <c r="H4" s="170" t="e">
        <f>H58+'табель сирот'!G46</f>
        <v>#REF!</v>
      </c>
      <c r="I4" s="170" t="e">
        <f>I58+'табель сирот'!H46</f>
        <v>#REF!</v>
      </c>
      <c r="J4" s="170" t="e">
        <f>J58+'табель сирот'!I46</f>
        <v>#REF!</v>
      </c>
      <c r="K4" s="170"/>
      <c r="L4" s="170" t="e">
        <f>L58+'табель сирот'!K46</f>
        <v>#REF!</v>
      </c>
      <c r="M4" s="170"/>
      <c r="N4" s="170" t="e">
        <f>N58+'табель сирот'!M46</f>
        <v>#REF!</v>
      </c>
      <c r="O4" s="170" t="e">
        <f>O58+'табель сирот'!N46</f>
        <v>#REF!</v>
      </c>
      <c r="P4" s="170" t="e">
        <f>P58+'табель сирот'!O46</f>
        <v>#REF!</v>
      </c>
      <c r="Q4" s="170" t="e">
        <f>Q58+'табель сирот'!P46</f>
        <v>#REF!</v>
      </c>
      <c r="R4" s="170"/>
      <c r="S4" s="170" t="e">
        <f>S58+'табель сирот'!R46</f>
        <v>#REF!</v>
      </c>
      <c r="T4" s="170" t="e">
        <f>T58+'табель сирот'!S46</f>
        <v>#REF!</v>
      </c>
      <c r="U4" s="170" t="e">
        <f>U58+'табель сирот'!T46</f>
        <v>#REF!</v>
      </c>
      <c r="V4" s="170" t="e">
        <f>V58+'табель сирот'!U46</f>
        <v>#REF!</v>
      </c>
      <c r="W4" s="170" t="e">
        <f>W58+'табель сирот'!V46</f>
        <v>#REF!</v>
      </c>
      <c r="X4" s="170" t="e">
        <f>X58+'табель сирот'!W46</f>
        <v>#REF!</v>
      </c>
      <c r="Y4" s="170" t="e">
        <f>Y58+'табель сирот'!Y46</f>
        <v>#REF!</v>
      </c>
      <c r="Z4" s="170" t="e">
        <f>Z58+'табель сирот'!Z46</f>
        <v>#REF!</v>
      </c>
      <c r="AA4" s="170" t="e">
        <f>AA58+'табель сирот'!AA46</f>
        <v>#REF!</v>
      </c>
      <c r="AB4" s="170" t="e">
        <f>AB58+'табель сирот'!AB46</f>
        <v>#REF!</v>
      </c>
      <c r="AC4" s="170" t="e">
        <f>AC58+'табель сирот'!AC46</f>
        <v>#REF!</v>
      </c>
      <c r="AD4" s="170"/>
      <c r="AE4" s="170"/>
      <c r="AF4" s="170" t="e">
        <f>AF58+'табель сирот'!AD46</f>
        <v>#REF!</v>
      </c>
      <c r="AG4" s="170"/>
      <c r="AH4" s="170" t="e">
        <f>AH58+'табель сирот'!AF46</f>
        <v>#REF!</v>
      </c>
      <c r="AI4" s="170" t="e">
        <f>AI58+'табель сирот'!AH46</f>
        <v>#REF!</v>
      </c>
      <c r="AJ4" s="170" t="e">
        <f>AJ58+'табель сирот'!AI46</f>
        <v>#REF!</v>
      </c>
      <c r="AK4" s="170" t="e">
        <f>AK58+'табель сирот'!AJ46</f>
        <v>#REF!</v>
      </c>
      <c r="AL4" s="170"/>
      <c r="AM4" s="170"/>
      <c r="AN4" s="170"/>
      <c r="AO4" s="170"/>
      <c r="AP4" s="170"/>
      <c r="AQ4" s="170"/>
    </row>
    <row r="5" spans="1:49" hidden="1" outlineLevel="1" x14ac:dyDescent="0.2">
      <c r="E5" s="162" t="e">
        <f t="shared" ref="E5" si="0">SUM(E1:E4)</f>
        <v>#REF!</v>
      </c>
      <c r="F5" s="162" t="e">
        <f t="shared" ref="F5" si="1">SUM(F1:F4)</f>
        <v>#REF!</v>
      </c>
      <c r="G5" s="162" t="e">
        <f>SUM(G1:G4)</f>
        <v>#REF!</v>
      </c>
      <c r="H5" s="162" t="e">
        <f t="shared" ref="H5:I5" si="2">SUM(H1:H4)</f>
        <v>#REF!</v>
      </c>
      <c r="I5" s="162" t="e">
        <f t="shared" si="2"/>
        <v>#REF!</v>
      </c>
      <c r="J5" s="162" t="e">
        <f>SUM(J1:J4)</f>
        <v>#REF!</v>
      </c>
      <c r="K5" s="162"/>
      <c r="L5" s="162" t="e">
        <f t="shared" ref="L5" si="3">SUM(L1:L4)</f>
        <v>#REF!</v>
      </c>
      <c r="M5" s="162"/>
      <c r="N5" s="162" t="e">
        <f t="shared" ref="N5:U5" si="4">SUM(N1:N4)</f>
        <v>#REF!</v>
      </c>
      <c r="O5" s="162" t="e">
        <f t="shared" si="4"/>
        <v>#REF!</v>
      </c>
      <c r="P5" s="162" t="e">
        <f t="shared" si="4"/>
        <v>#REF!</v>
      </c>
      <c r="Q5" s="162" t="e">
        <f t="shared" si="4"/>
        <v>#REF!</v>
      </c>
      <c r="R5" s="162"/>
      <c r="S5" s="162" t="e">
        <f t="shared" si="4"/>
        <v>#REF!</v>
      </c>
      <c r="T5" s="162" t="e">
        <f t="shared" si="4"/>
        <v>#REF!</v>
      </c>
      <c r="U5" s="162" t="e">
        <f t="shared" si="4"/>
        <v>#REF!</v>
      </c>
      <c r="V5" s="162" t="e">
        <f>SUM(V1:V4)</f>
        <v>#REF!</v>
      </c>
      <c r="W5" s="162" t="e">
        <f t="shared" ref="W5:AA5" si="5">SUM(W1:W4)</f>
        <v>#REF!</v>
      </c>
      <c r="X5" s="162" t="e">
        <f t="shared" si="5"/>
        <v>#REF!</v>
      </c>
      <c r="Y5" s="162" t="e">
        <f t="shared" si="5"/>
        <v>#REF!</v>
      </c>
      <c r="Z5" s="162" t="e">
        <f t="shared" si="5"/>
        <v>#REF!</v>
      </c>
      <c r="AA5" s="162" t="e">
        <f t="shared" si="5"/>
        <v>#REF!</v>
      </c>
      <c r="AB5" s="162" t="e">
        <f>SUM(AB1:AB4)</f>
        <v>#REF!</v>
      </c>
      <c r="AC5" s="162" t="e">
        <f t="shared" ref="AC5:AK5" si="6">SUM(AC1:AC4)</f>
        <v>#REF!</v>
      </c>
      <c r="AD5" s="162"/>
      <c r="AE5" s="162"/>
      <c r="AF5" s="162" t="e">
        <f t="shared" si="6"/>
        <v>#REF!</v>
      </c>
      <c r="AG5" s="162"/>
      <c r="AH5" s="162" t="e">
        <f t="shared" si="6"/>
        <v>#REF!</v>
      </c>
      <c r="AI5" s="162" t="e">
        <f t="shared" si="6"/>
        <v>#REF!</v>
      </c>
      <c r="AJ5" s="162" t="e">
        <f t="shared" si="6"/>
        <v>#REF!</v>
      </c>
      <c r="AK5" s="162" t="e">
        <f t="shared" si="6"/>
        <v>#REF!</v>
      </c>
      <c r="AL5" s="162"/>
      <c r="AM5" s="162"/>
      <c r="AN5" s="162"/>
      <c r="AO5" s="162"/>
      <c r="AP5" s="162"/>
      <c r="AQ5" s="162"/>
    </row>
    <row r="6" spans="1:49" s="135" customFormat="1" ht="11.25" hidden="1" customHeight="1" outlineLevel="1" x14ac:dyDescent="0.2">
      <c r="A6" s="134"/>
      <c r="D6" s="136" t="s">
        <v>60</v>
      </c>
      <c r="E6" s="171">
        <f>E45+'табель сирот'!D37-E51</f>
        <v>-37</v>
      </c>
      <c r="F6" s="171">
        <f>F44+'табель сирот'!E37-F50</f>
        <v>-40</v>
      </c>
      <c r="G6" s="171">
        <f>G44+'табель сирот'!F37-G50</f>
        <v>-39</v>
      </c>
      <c r="H6" s="171">
        <f>H44+'табель сирот'!G37-H50</f>
        <v>-46</v>
      </c>
      <c r="I6" s="171">
        <f>I44+'табель сирот'!H37-I50</f>
        <v>-33</v>
      </c>
      <c r="J6" s="171">
        <f>J44+'табель сирот'!I37-J50</f>
        <v>-27</v>
      </c>
      <c r="K6" s="171"/>
      <c r="L6" s="171">
        <f>L44+'табель сирот'!K37-L50</f>
        <v>-47</v>
      </c>
      <c r="M6" s="171"/>
      <c r="N6" s="171">
        <f>N44+'табель сирот'!M37-N50</f>
        <v>-46</v>
      </c>
      <c r="O6" s="171">
        <f>O44+'табель сирот'!N37-O50</f>
        <v>-49</v>
      </c>
      <c r="P6" s="171">
        <f>P44+'табель сирот'!O37-P50</f>
        <v>-48</v>
      </c>
      <c r="Q6" s="171">
        <f>Q44+'табель сирот'!P37-Q50</f>
        <v>-38</v>
      </c>
      <c r="R6" s="171"/>
      <c r="S6" s="171">
        <f>S44+'табель сирот'!R37-S50</f>
        <v>-40</v>
      </c>
      <c r="T6" s="171">
        <f>T44+'табель сирот'!S37-T50</f>
        <v>-46</v>
      </c>
      <c r="U6" s="171">
        <f>U44+'табель сирот'!T37-U50</f>
        <v>-43</v>
      </c>
      <c r="V6" s="171">
        <f>V44+'табель сирот'!U37-V50</f>
        <v>-42</v>
      </c>
      <c r="W6" s="171">
        <f>W44+'табель сирот'!V37-W50</f>
        <v>0</v>
      </c>
      <c r="X6" s="171">
        <f>X44+'табель сирот'!W37-X50</f>
        <v>2</v>
      </c>
      <c r="Y6" s="171">
        <f>Y44+'табель сирот'!Y37-Y50</f>
        <v>2</v>
      </c>
      <c r="Z6" s="171">
        <f>Z44+'табель сирот'!Z37-Z50</f>
        <v>3</v>
      </c>
      <c r="AA6" s="171">
        <f>AA44+'табель сирот'!AA37-AA50</f>
        <v>3</v>
      </c>
      <c r="AB6" s="171">
        <f>AB44+'табель сирот'!AB37-AB50</f>
        <v>0</v>
      </c>
      <c r="AC6" s="171">
        <f>AC44+'табель сирот'!AC37-AC50</f>
        <v>0</v>
      </c>
      <c r="AD6" s="171"/>
      <c r="AE6" s="171"/>
      <c r="AF6" s="171">
        <f>AF44+'табель сирот'!AD37-AF50</f>
        <v>2</v>
      </c>
      <c r="AG6" s="171"/>
      <c r="AH6" s="171">
        <f>AH44+'табель сирот'!AF37-AH50</f>
        <v>5</v>
      </c>
      <c r="AI6" s="171">
        <f>AI44+'табель сирот'!AH37-AI50</f>
        <v>2</v>
      </c>
      <c r="AJ6" s="171">
        <f>AJ44+'табель сирот'!AI37-AJ50</f>
        <v>0</v>
      </c>
      <c r="AK6" s="171">
        <f>AK44+'табель сирот'!AJ37-AK50</f>
        <v>0</v>
      </c>
      <c r="AL6" s="171"/>
      <c r="AM6" s="171"/>
      <c r="AN6" s="171"/>
      <c r="AO6" s="171"/>
      <c r="AP6" s="171"/>
      <c r="AQ6" s="171"/>
      <c r="AR6" s="148">
        <f>AR44+'табель сирот'!AQ37-AR50</f>
        <v>-560</v>
      </c>
      <c r="AS6" s="134"/>
      <c r="AW6" s="134"/>
    </row>
    <row r="7" spans="1:49" s="140" customFormat="1" ht="32.25" customHeight="1" collapsed="1" x14ac:dyDescent="0.25">
      <c r="A7" s="138" t="s">
        <v>92</v>
      </c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 t="s">
        <v>0</v>
      </c>
      <c r="R7" s="138"/>
      <c r="S7" s="426" t="s">
        <v>126</v>
      </c>
      <c r="T7" s="426"/>
      <c r="U7" s="426"/>
      <c r="V7" s="138" t="s">
        <v>115</v>
      </c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41" t="s">
        <v>26</v>
      </c>
      <c r="AS7" s="139"/>
      <c r="AW7" s="134"/>
    </row>
    <row r="8" spans="1:49" s="5" customFormat="1" ht="16.5" customHeight="1" x14ac:dyDescent="0.2">
      <c r="A8" s="4"/>
      <c r="C8" s="6"/>
      <c r="D8" s="4"/>
      <c r="AI8" s="7"/>
      <c r="AJ8" s="7"/>
      <c r="AK8" s="7"/>
      <c r="AL8" s="7"/>
      <c r="AM8" s="7"/>
      <c r="AN8" s="7"/>
      <c r="AO8" s="7"/>
      <c r="AP8" s="7"/>
      <c r="AQ8" s="7"/>
      <c r="AR8" s="137"/>
      <c r="AS8" s="4"/>
      <c r="AW8" s="172"/>
    </row>
    <row r="9" spans="1:49" s="9" customFormat="1" ht="21.75" customHeight="1" x14ac:dyDescent="0.2">
      <c r="A9" s="428" t="s">
        <v>1</v>
      </c>
      <c r="B9" s="429" t="s">
        <v>94</v>
      </c>
      <c r="C9" s="429"/>
      <c r="D9" s="214" t="s">
        <v>63</v>
      </c>
      <c r="E9" s="191">
        <v>1</v>
      </c>
      <c r="F9" s="192">
        <v>2</v>
      </c>
      <c r="G9" s="192">
        <v>3</v>
      </c>
      <c r="H9" s="192">
        <v>4</v>
      </c>
      <c r="I9" s="192">
        <v>5</v>
      </c>
      <c r="J9" s="192">
        <v>6</v>
      </c>
      <c r="K9" s="192">
        <v>7</v>
      </c>
      <c r="L9" s="192">
        <v>8</v>
      </c>
      <c r="M9" s="192">
        <v>9</v>
      </c>
      <c r="N9" s="192">
        <v>10</v>
      </c>
      <c r="O9" s="192">
        <v>11</v>
      </c>
      <c r="P9" s="192">
        <v>12</v>
      </c>
      <c r="Q9" s="192">
        <v>13</v>
      </c>
      <c r="R9" s="192">
        <v>14</v>
      </c>
      <c r="S9" s="192">
        <v>15</v>
      </c>
      <c r="T9" s="192">
        <v>16</v>
      </c>
      <c r="U9" s="192">
        <v>17</v>
      </c>
      <c r="V9" s="192">
        <v>18</v>
      </c>
      <c r="W9" s="192">
        <v>19</v>
      </c>
      <c r="X9" s="192">
        <v>20</v>
      </c>
      <c r="Y9" s="192">
        <v>22</v>
      </c>
      <c r="Z9" s="192">
        <v>23</v>
      </c>
      <c r="AA9" s="192">
        <v>24</v>
      </c>
      <c r="AB9" s="192">
        <v>25</v>
      </c>
      <c r="AC9" s="192">
        <v>26</v>
      </c>
      <c r="AD9" s="192">
        <v>27</v>
      </c>
      <c r="AE9" s="192">
        <v>28</v>
      </c>
      <c r="AF9" s="192">
        <v>29</v>
      </c>
      <c r="AG9" s="192">
        <v>30</v>
      </c>
      <c r="AH9" s="192">
        <v>31</v>
      </c>
      <c r="AI9" s="192"/>
      <c r="AJ9" s="192"/>
      <c r="AK9" s="192"/>
      <c r="AL9" s="192"/>
      <c r="AM9" s="192"/>
      <c r="AN9" s="192"/>
      <c r="AO9" s="192"/>
      <c r="AP9" s="192"/>
      <c r="AQ9" s="192"/>
      <c r="AR9" s="427" t="s">
        <v>3</v>
      </c>
      <c r="AW9" s="172"/>
    </row>
    <row r="10" spans="1:49" s="9" customFormat="1" ht="14.25" customHeight="1" x14ac:dyDescent="0.2">
      <c r="A10" s="428"/>
      <c r="B10" s="429"/>
      <c r="C10" s="429"/>
      <c r="D10" s="428" t="s">
        <v>88</v>
      </c>
      <c r="E10" s="222" t="s">
        <v>93</v>
      </c>
      <c r="F10" s="222" t="s">
        <v>93</v>
      </c>
      <c r="G10" s="222" t="s">
        <v>93</v>
      </c>
      <c r="H10" s="222" t="s">
        <v>93</v>
      </c>
      <c r="I10" s="222" t="s">
        <v>93</v>
      </c>
      <c r="J10" s="222" t="s">
        <v>93</v>
      </c>
      <c r="K10" s="222" t="s">
        <v>93</v>
      </c>
      <c r="L10" s="222" t="s">
        <v>93</v>
      </c>
      <c r="M10" s="222" t="s">
        <v>93</v>
      </c>
      <c r="N10" s="222" t="s">
        <v>93</v>
      </c>
      <c r="O10" s="222" t="s">
        <v>93</v>
      </c>
      <c r="P10" s="222" t="s">
        <v>93</v>
      </c>
      <c r="Q10" s="222" t="s">
        <v>93</v>
      </c>
      <c r="R10" s="222" t="s">
        <v>93</v>
      </c>
      <c r="S10" s="222" t="s">
        <v>93</v>
      </c>
      <c r="T10" s="222" t="s">
        <v>93</v>
      </c>
      <c r="U10" s="222" t="s">
        <v>93</v>
      </c>
      <c r="V10" s="222" t="s">
        <v>93</v>
      </c>
      <c r="W10" s="222" t="s">
        <v>93</v>
      </c>
      <c r="X10" s="222" t="s">
        <v>93</v>
      </c>
      <c r="Y10" s="222" t="s">
        <v>4</v>
      </c>
      <c r="Z10" s="222" t="s">
        <v>4</v>
      </c>
      <c r="AA10" s="222" t="s">
        <v>4</v>
      </c>
      <c r="AB10" s="222" t="s">
        <v>4</v>
      </c>
      <c r="AC10" s="222" t="s">
        <v>4</v>
      </c>
      <c r="AD10" s="222" t="s">
        <v>4</v>
      </c>
      <c r="AE10" s="222" t="s">
        <v>4</v>
      </c>
      <c r="AF10" s="222" t="s">
        <v>4</v>
      </c>
      <c r="AG10" s="222" t="s">
        <v>93</v>
      </c>
      <c r="AH10" s="222" t="s">
        <v>93</v>
      </c>
      <c r="AI10" s="222"/>
      <c r="AJ10" s="222"/>
      <c r="AK10" s="222"/>
      <c r="AL10" s="222"/>
      <c r="AM10" s="222"/>
      <c r="AN10" s="222"/>
      <c r="AO10" s="222"/>
      <c r="AP10" s="222" t="s">
        <v>93</v>
      </c>
      <c r="AQ10" s="222" t="s">
        <v>93</v>
      </c>
      <c r="AR10" s="427"/>
      <c r="AW10" s="172"/>
    </row>
    <row r="11" spans="1:49" s="6" customFormat="1" ht="39" customHeight="1" x14ac:dyDescent="0.2">
      <c r="A11" s="428"/>
      <c r="B11" s="429"/>
      <c r="C11" s="429"/>
      <c r="D11" s="428"/>
      <c r="E11" s="195">
        <v>30.51</v>
      </c>
      <c r="F11" s="195">
        <v>30.51</v>
      </c>
      <c r="G11" s="195">
        <v>30.51</v>
      </c>
      <c r="H11" s="195">
        <v>30.51</v>
      </c>
      <c r="I11" s="195">
        <v>30.51</v>
      </c>
      <c r="J11" s="195">
        <v>30.51</v>
      </c>
      <c r="K11" s="195">
        <v>30.51</v>
      </c>
      <c r="L11" s="195">
        <v>30.51</v>
      </c>
      <c r="M11" s="195">
        <v>30.51</v>
      </c>
      <c r="N11" s="195">
        <v>30.51</v>
      </c>
      <c r="O11" s="195">
        <v>30.51</v>
      </c>
      <c r="P11" s="195">
        <v>30.51</v>
      </c>
      <c r="Q11" s="195">
        <v>30.51</v>
      </c>
      <c r="R11" s="195">
        <v>30.51</v>
      </c>
      <c r="S11" s="195">
        <v>30.51</v>
      </c>
      <c r="T11" s="195">
        <v>30.51</v>
      </c>
      <c r="U11" s="195">
        <v>30.51</v>
      </c>
      <c r="V11" s="195">
        <v>30.51</v>
      </c>
      <c r="W11" s="195">
        <v>30.51</v>
      </c>
      <c r="X11" s="195">
        <v>30.51</v>
      </c>
      <c r="Y11" s="195">
        <v>30.51</v>
      </c>
      <c r="Z11" s="195">
        <v>30.51</v>
      </c>
      <c r="AA11" s="195">
        <v>30.51</v>
      </c>
      <c r="AB11" s="195">
        <v>30.51</v>
      </c>
      <c r="AC11" s="195">
        <v>30.51</v>
      </c>
      <c r="AD11" s="195">
        <v>30.51</v>
      </c>
      <c r="AE11" s="195">
        <v>30.51</v>
      </c>
      <c r="AF11" s="195">
        <v>30.51</v>
      </c>
      <c r="AG11" s="195">
        <v>30.51</v>
      </c>
      <c r="AH11" s="195">
        <v>30.51</v>
      </c>
      <c r="AI11" s="196"/>
      <c r="AJ11" s="196"/>
      <c r="AK11" s="196"/>
      <c r="AL11" s="196"/>
      <c r="AM11" s="196"/>
      <c r="AN11" s="196"/>
      <c r="AO11" s="196"/>
      <c r="AP11" s="196"/>
      <c r="AQ11" s="196"/>
      <c r="AR11" s="154">
        <f>SUM(E11:AQ11)</f>
        <v>915.29999999999984</v>
      </c>
      <c r="AS11" s="9"/>
      <c r="AV11" s="9" t="s">
        <v>5</v>
      </c>
      <c r="AW11" s="172"/>
    </row>
    <row r="12" spans="1:49" s="13" customFormat="1" ht="18" customHeight="1" x14ac:dyDescent="0.2">
      <c r="A12" s="158"/>
      <c r="B12" s="197">
        <f>'табель ОВЗ обед'!B12</f>
        <v>0</v>
      </c>
      <c r="C12" s="198">
        <f>'табель ОВЗ обед'!C12</f>
        <v>0</v>
      </c>
      <c r="D12" s="199">
        <f>'табель ОВЗ обед'!D12</f>
        <v>46203</v>
      </c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>
        <v>1</v>
      </c>
      <c r="S12" s="200">
        <v>1</v>
      </c>
      <c r="T12" s="200">
        <v>1</v>
      </c>
      <c r="U12" s="200">
        <v>1</v>
      </c>
      <c r="V12" s="200"/>
      <c r="W12" s="200"/>
      <c r="X12" s="200">
        <v>1</v>
      </c>
      <c r="Y12" s="200"/>
      <c r="Z12" s="200">
        <v>1</v>
      </c>
      <c r="AA12" s="200">
        <v>1</v>
      </c>
      <c r="AB12" s="200"/>
      <c r="AC12" s="200"/>
      <c r="AD12" s="200">
        <v>1</v>
      </c>
      <c r="AE12" s="200">
        <v>1</v>
      </c>
      <c r="AF12" s="200">
        <v>1</v>
      </c>
      <c r="AG12" s="200">
        <v>1</v>
      </c>
      <c r="AH12" s="200">
        <v>1</v>
      </c>
      <c r="AI12" s="200"/>
      <c r="AJ12" s="200"/>
      <c r="AK12" s="200"/>
      <c r="AL12" s="200"/>
      <c r="AM12" s="200"/>
      <c r="AN12" s="200"/>
      <c r="AO12" s="200"/>
      <c r="AP12" s="200"/>
      <c r="AQ12" s="200"/>
      <c r="AR12" s="150">
        <f>AT12</f>
        <v>274.58999999999997</v>
      </c>
      <c r="AS12" s="12">
        <f t="shared" ref="AS12:AS42" si="7">SUM(E12:AQ12)</f>
        <v>12</v>
      </c>
      <c r="AT12" s="180">
        <f>$E$11*E12+$F$11*F12+$G$11*G12+$H$11*H12+$I$11*I12+$J$11*J12+$L$11*L12+$M$11*M12+$N$11*N12+$O$11*O12+$P$11*P12+$Q$11*Q12+$S$11*S12+$T$11*T12+$U$11*U12+$V$11*V12+$W$11*W12+$X$11*X12+$Y$11*Y12+$Z$11*Z12+$AA$11*AA12+$AB$11*AB12+$AC$11*AC12+$AF$11*AF12+$AG$11*AH12+$AI$11*AI12+$AJ$11*AJ12+$AK$11*AK12+$AM$11*AM12+$AN$11*AN12+$AO$11*AO12+$AQ$11*AQ12+AD11*AD12</f>
        <v>274.58999999999997</v>
      </c>
      <c r="AU12" s="179"/>
      <c r="AV12" s="14"/>
      <c r="AW12" s="176"/>
    </row>
    <row r="13" spans="1:49" s="13" customFormat="1" ht="18" customHeight="1" outlineLevel="1" x14ac:dyDescent="0.2">
      <c r="A13" s="158"/>
      <c r="B13" s="197">
        <f>'табель ОВЗ обед'!B13</f>
        <v>0</v>
      </c>
      <c r="C13" s="198">
        <f>'табель ОВЗ обед'!C13</f>
        <v>0</v>
      </c>
      <c r="D13" s="199">
        <f>'табель ОВЗ обед'!D13</f>
        <v>46203</v>
      </c>
      <c r="E13" s="200"/>
      <c r="F13" s="200"/>
      <c r="G13" s="200"/>
      <c r="H13" s="200"/>
      <c r="I13" s="200"/>
      <c r="J13" s="200"/>
      <c r="K13" s="200"/>
      <c r="L13" s="200">
        <v>1</v>
      </c>
      <c r="M13" s="200"/>
      <c r="N13" s="200"/>
      <c r="O13" s="200"/>
      <c r="P13" s="200"/>
      <c r="Q13" s="200">
        <v>1</v>
      </c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>
        <v>1</v>
      </c>
      <c r="AE13" s="200"/>
      <c r="AF13" s="200"/>
      <c r="AG13" s="200"/>
      <c r="AH13" s="200">
        <v>1</v>
      </c>
      <c r="AI13" s="189"/>
      <c r="AJ13" s="189"/>
      <c r="AK13" s="189"/>
      <c r="AL13" s="189"/>
      <c r="AM13" s="189"/>
      <c r="AN13" s="189"/>
      <c r="AO13" s="189"/>
      <c r="AP13" s="189"/>
      <c r="AQ13" s="189"/>
      <c r="AR13" s="150">
        <f t="shared" ref="AR13:AR42" si="8">AT13</f>
        <v>122.04</v>
      </c>
      <c r="AS13" s="12">
        <f t="shared" si="7"/>
        <v>4</v>
      </c>
      <c r="AT13" s="180">
        <f>$E$11*E13+$F$11*F13+$G$11*G13+$H$11*H13+$I$11*I13+$J$11*J13+$L$11*L13+$M$11*M13+$N$11*N13+$O$11*O13+$P$11*P13+$Q$11*Q13+$S$11*S13+$T$11*T13+$U$11*U13+$V$11*V13+$W$11*W13+$X$11*X13+$Y$11*Y13+$Z$11*Z13+$AA$11*AA13+$AB$11*AB13+$AC$11*AC13+$AF$11*AF13+$AG$11*AH13+$AI$11*AI13+$AJ$11*AJ13+$AK$11*AK13+$AM$11*AM13+$AN$11*AN13+$AO$11*AO13+$AQ$11*AQ13+AD11*AD13</f>
        <v>122.04</v>
      </c>
      <c r="AU13" s="179"/>
      <c r="AV13" s="14"/>
      <c r="AW13" s="176"/>
    </row>
    <row r="14" spans="1:49" s="13" customFormat="1" ht="18" hidden="1" customHeight="1" outlineLevel="1" x14ac:dyDescent="0.2">
      <c r="A14" s="158">
        <v>8</v>
      </c>
      <c r="B14" s="197">
        <f>'табель ОВЗ обед'!B14</f>
        <v>0</v>
      </c>
      <c r="C14" s="198" t="s">
        <v>101</v>
      </c>
      <c r="D14" s="199">
        <f>'табель ОВЗ обед'!D14</f>
        <v>45838</v>
      </c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189"/>
      <c r="AJ14" s="189"/>
      <c r="AK14" s="189"/>
      <c r="AL14" s="189"/>
      <c r="AM14" s="189"/>
      <c r="AN14" s="189"/>
      <c r="AO14" s="189"/>
      <c r="AP14" s="189"/>
      <c r="AQ14" s="189"/>
      <c r="AR14" s="150">
        <f t="shared" si="8"/>
        <v>0</v>
      </c>
      <c r="AS14" s="12">
        <f t="shared" si="7"/>
        <v>0</v>
      </c>
      <c r="AT14" s="180">
        <f>$E$11*E14+$F$11*F14+$G$11*G14+$H$11*H14+$I$11*I14+$J$11*J14+$L$11*L14+$M$11*M14+$N$11*N14+$O$11*O14+$P$11*P14+$Q$11*Q14+$S$11*S14+$T$11*T14+$U$11*U14+$V$11*V14+$W$11*W14+$X$11*X14+$Y$11*Y14+$Z$11*Z14+$AA$11*AA14+$AB$11*AB14+$AC$11*AC14+$AF$11*AF14+$AG$11*AH14+$AI$11*AI14+$AJ$11*AJ14+$AK$11*AK14+$AM$11*AM14+$AN$11*AN14+$AO$11*AO14+$AQ$11*AQ14+AD11*AD14</f>
        <v>0</v>
      </c>
      <c r="AU14" s="179"/>
      <c r="AV14" s="14"/>
      <c r="AW14" s="176"/>
    </row>
    <row r="15" spans="1:49" s="13" customFormat="1" ht="18" hidden="1" customHeight="1" outlineLevel="1" x14ac:dyDescent="0.2">
      <c r="A15" s="158">
        <v>9</v>
      </c>
      <c r="B15" s="197">
        <f>'табель ОВЗ обед'!B15</f>
        <v>0</v>
      </c>
      <c r="C15" s="198">
        <f>'табель ОВЗ обед'!C15</f>
        <v>0</v>
      </c>
      <c r="D15" s="199">
        <f>'табель ОВЗ обед'!D15</f>
        <v>45838</v>
      </c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200"/>
      <c r="AG15" s="200"/>
      <c r="AH15" s="200"/>
      <c r="AI15" s="189"/>
      <c r="AJ15" s="189"/>
      <c r="AK15" s="189"/>
      <c r="AL15" s="189"/>
      <c r="AM15" s="189"/>
      <c r="AN15" s="189"/>
      <c r="AO15" s="189"/>
      <c r="AP15" s="189"/>
      <c r="AQ15" s="189"/>
      <c r="AR15" s="150">
        <f t="shared" si="8"/>
        <v>0</v>
      </c>
      <c r="AS15" s="12">
        <f t="shared" si="7"/>
        <v>0</v>
      </c>
      <c r="AT15" s="180">
        <f>$E$11*E15+$F$11*F15+$G$11*G15+$H$11*H15+$I$11*I15+$J$11*J15+$L$11*L15+$M$11*M15+$N$11*N15+$O$11*O15+$P$11*P15+$Q$11*Q15+$S$11*S15+$T$11*T15+$U$11*U15+$V$11*V15+$W$11*W15+$X$11*X15+$Y$11*Y15+$Z$11*Z15+$AA$11*AA15+$AB$11*AB15+$AC$11*AC15+$AF$11*AF15+$AG$11*AH15+$AI$11*AI15+$AJ$11*AJ15+$AK$11*AK15+$AM$11*AM15+$AN$11*AN15+$AO$11*AO15+$AQ$11*AQ15+AD11*AD15</f>
        <v>0</v>
      </c>
      <c r="AU15" s="179"/>
      <c r="AV15" s="14"/>
      <c r="AW15" s="176"/>
    </row>
    <row r="16" spans="1:49" s="13" customFormat="1" ht="18" hidden="1" customHeight="1" outlineLevel="1" x14ac:dyDescent="0.2">
      <c r="A16" s="158">
        <v>10</v>
      </c>
      <c r="B16" s="197">
        <f>'табель ОВЗ обед'!B16</f>
        <v>0</v>
      </c>
      <c r="C16" s="198">
        <f>'табель ОВЗ обед'!C16</f>
        <v>0</v>
      </c>
      <c r="D16" s="199">
        <f>'табель ОВЗ обед'!D16</f>
        <v>45838</v>
      </c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189"/>
      <c r="AJ16" s="189"/>
      <c r="AK16" s="189"/>
      <c r="AL16" s="189"/>
      <c r="AM16" s="189"/>
      <c r="AN16" s="189"/>
      <c r="AO16" s="189"/>
      <c r="AP16" s="189"/>
      <c r="AQ16" s="189"/>
      <c r="AR16" s="150">
        <f t="shared" si="8"/>
        <v>0</v>
      </c>
      <c r="AS16" s="12">
        <f t="shared" si="7"/>
        <v>0</v>
      </c>
      <c r="AT16" s="180">
        <f t="shared" ref="AT16:AT42" si="9">$E$11*E16+$F$11*F16+$G$11*G16+$H$11*H16+$I$11*I16+$J$11*J16+$L$11*L16+$M$11*M16+$N$11*N16+$O$11*O16+$P$11*P16+$Q$11*Q16+$S$11*S16+$T$11*T16+$U$11*U16+$V$11*V16+$W$11*W16+$X$11*X16+$Y$11*Y16+$Z$11*Z16+$AA$11*AA16+$AB$11*AB16+$AC$11*AC16+$AF$11*AF16+$AG$11*AH16+$AI$11*AI16+$AJ$11*AJ16+$AK$11*AK16+$AM$11*AM16+$AN$11*AN16+$AO$11*AO16+$AQ$11*AQ16</f>
        <v>0</v>
      </c>
      <c r="AU16" s="179"/>
      <c r="AV16" s="14"/>
      <c r="AW16" s="176"/>
    </row>
    <row r="17" spans="1:49" s="13" customFormat="1" ht="18" hidden="1" customHeight="1" outlineLevel="1" x14ac:dyDescent="0.2">
      <c r="A17" s="158">
        <v>11</v>
      </c>
      <c r="B17" s="197">
        <f>'табель ОВЗ обед'!B17</f>
        <v>0</v>
      </c>
      <c r="C17" s="198">
        <f>'табель ОВЗ обед'!C17</f>
        <v>0</v>
      </c>
      <c r="D17" s="199">
        <f>'табель ОВЗ обед'!D17</f>
        <v>0</v>
      </c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189"/>
      <c r="AJ17" s="189"/>
      <c r="AK17" s="189"/>
      <c r="AL17" s="189"/>
      <c r="AM17" s="189"/>
      <c r="AN17" s="189"/>
      <c r="AO17" s="189"/>
      <c r="AP17" s="189"/>
      <c r="AQ17" s="189"/>
      <c r="AR17" s="150">
        <f t="shared" si="8"/>
        <v>0</v>
      </c>
      <c r="AS17" s="12">
        <f t="shared" si="7"/>
        <v>0</v>
      </c>
      <c r="AT17" s="180">
        <f t="shared" si="9"/>
        <v>0</v>
      </c>
      <c r="AU17" s="179"/>
      <c r="AV17" s="14"/>
      <c r="AW17" s="176"/>
    </row>
    <row r="18" spans="1:49" s="13" customFormat="1" ht="18" hidden="1" customHeight="1" outlineLevel="1" x14ac:dyDescent="0.2">
      <c r="A18" s="158">
        <v>12</v>
      </c>
      <c r="B18" s="197">
        <f>'табель ОВЗ обед'!B18</f>
        <v>0</v>
      </c>
      <c r="C18" s="198">
        <f>'табель ОВЗ обед'!C18</f>
        <v>0</v>
      </c>
      <c r="D18" s="199">
        <f>'табель ОВЗ обед'!D18</f>
        <v>0</v>
      </c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200"/>
      <c r="AG18" s="200"/>
      <c r="AH18" s="200"/>
      <c r="AI18" s="189"/>
      <c r="AJ18" s="189"/>
      <c r="AK18" s="189"/>
      <c r="AL18" s="189"/>
      <c r="AM18" s="189"/>
      <c r="AN18" s="189"/>
      <c r="AO18" s="189"/>
      <c r="AP18" s="189"/>
      <c r="AQ18" s="189"/>
      <c r="AR18" s="150">
        <f t="shared" si="8"/>
        <v>0</v>
      </c>
      <c r="AS18" s="12">
        <f t="shared" si="7"/>
        <v>0</v>
      </c>
      <c r="AT18" s="180">
        <f t="shared" si="9"/>
        <v>0</v>
      </c>
      <c r="AU18" s="179"/>
      <c r="AV18" s="14"/>
      <c r="AW18" s="176"/>
    </row>
    <row r="19" spans="1:49" s="13" customFormat="1" ht="18" hidden="1" customHeight="1" outlineLevel="1" x14ac:dyDescent="0.2">
      <c r="A19" s="158">
        <v>13</v>
      </c>
      <c r="B19" s="197">
        <f>'табель ОВЗ обед'!B19</f>
        <v>0</v>
      </c>
      <c r="C19" s="198">
        <f>'табель ОВЗ обед'!C19</f>
        <v>0</v>
      </c>
      <c r="D19" s="199">
        <f>'табель ОВЗ обед'!D19</f>
        <v>0</v>
      </c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189"/>
      <c r="AJ19" s="189"/>
      <c r="AK19" s="189"/>
      <c r="AL19" s="189"/>
      <c r="AM19" s="189"/>
      <c r="AN19" s="189"/>
      <c r="AO19" s="189"/>
      <c r="AP19" s="189"/>
      <c r="AQ19" s="189"/>
      <c r="AR19" s="150">
        <f t="shared" si="8"/>
        <v>0</v>
      </c>
      <c r="AS19" s="12">
        <f t="shared" si="7"/>
        <v>0</v>
      </c>
      <c r="AT19" s="180">
        <f t="shared" si="9"/>
        <v>0</v>
      </c>
      <c r="AU19" s="179"/>
      <c r="AV19" s="14"/>
      <c r="AW19" s="176"/>
    </row>
    <row r="20" spans="1:49" s="13" customFormat="1" ht="18" hidden="1" customHeight="1" outlineLevel="1" x14ac:dyDescent="0.2">
      <c r="A20" s="158">
        <v>14</v>
      </c>
      <c r="B20" s="197">
        <f>'табель ОВЗ обед'!B20</f>
        <v>0</v>
      </c>
      <c r="C20" s="198">
        <f>'табель ОВЗ обед'!C20</f>
        <v>0</v>
      </c>
      <c r="D20" s="199">
        <f>'табель ОВЗ обед'!D20</f>
        <v>0</v>
      </c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189"/>
      <c r="AJ20" s="189"/>
      <c r="AK20" s="189"/>
      <c r="AL20" s="189"/>
      <c r="AM20" s="189"/>
      <c r="AN20" s="189"/>
      <c r="AO20" s="189"/>
      <c r="AP20" s="189"/>
      <c r="AQ20" s="189"/>
      <c r="AR20" s="150">
        <f t="shared" si="8"/>
        <v>0</v>
      </c>
      <c r="AS20" s="12">
        <f t="shared" si="7"/>
        <v>0</v>
      </c>
      <c r="AT20" s="180">
        <f t="shared" si="9"/>
        <v>0</v>
      </c>
      <c r="AU20" s="179"/>
      <c r="AV20" s="14"/>
      <c r="AW20" s="176"/>
    </row>
    <row r="21" spans="1:49" s="13" customFormat="1" ht="18" hidden="1" customHeight="1" outlineLevel="1" x14ac:dyDescent="0.2">
      <c r="A21" s="158">
        <v>15</v>
      </c>
      <c r="B21" s="197">
        <f>'табель ОВЗ обед'!B21</f>
        <v>0</v>
      </c>
      <c r="C21" s="198">
        <f>'табель ОВЗ обед'!C21</f>
        <v>0</v>
      </c>
      <c r="D21" s="199">
        <f>'табель ОВЗ обед'!D21</f>
        <v>0</v>
      </c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189"/>
      <c r="AJ21" s="189"/>
      <c r="AK21" s="189"/>
      <c r="AL21" s="189"/>
      <c r="AM21" s="189"/>
      <c r="AN21" s="189"/>
      <c r="AO21" s="189"/>
      <c r="AP21" s="189"/>
      <c r="AQ21" s="189"/>
      <c r="AR21" s="150">
        <f t="shared" si="8"/>
        <v>0</v>
      </c>
      <c r="AS21" s="12">
        <f t="shared" si="7"/>
        <v>0</v>
      </c>
      <c r="AT21" s="180">
        <f t="shared" si="9"/>
        <v>0</v>
      </c>
      <c r="AU21" s="179"/>
      <c r="AV21" s="14"/>
      <c r="AW21" s="176"/>
    </row>
    <row r="22" spans="1:49" s="13" customFormat="1" ht="18" hidden="1" customHeight="1" outlineLevel="1" x14ac:dyDescent="0.2">
      <c r="A22" s="158">
        <v>16</v>
      </c>
      <c r="B22" s="197">
        <f>'табель ОВЗ обед'!B22</f>
        <v>0</v>
      </c>
      <c r="C22" s="198">
        <f>'табель ОВЗ обед'!C22</f>
        <v>0</v>
      </c>
      <c r="D22" s="199">
        <f>'табель ОВЗ обед'!D22</f>
        <v>0</v>
      </c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189"/>
      <c r="AJ22" s="189"/>
      <c r="AK22" s="189"/>
      <c r="AL22" s="189"/>
      <c r="AM22" s="189"/>
      <c r="AN22" s="189"/>
      <c r="AO22" s="189"/>
      <c r="AP22" s="189"/>
      <c r="AQ22" s="189"/>
      <c r="AR22" s="150">
        <f t="shared" si="8"/>
        <v>0</v>
      </c>
      <c r="AS22" s="12">
        <f t="shared" si="7"/>
        <v>0</v>
      </c>
      <c r="AT22" s="180">
        <f t="shared" si="9"/>
        <v>0</v>
      </c>
      <c r="AU22" s="179"/>
      <c r="AV22" s="14"/>
      <c r="AW22" s="176"/>
    </row>
    <row r="23" spans="1:49" s="13" customFormat="1" ht="18" hidden="1" customHeight="1" outlineLevel="1" x14ac:dyDescent="0.2">
      <c r="A23" s="158">
        <v>17</v>
      </c>
      <c r="B23" s="197">
        <f>'табель ОВЗ обед'!B23</f>
        <v>0</v>
      </c>
      <c r="C23" s="198">
        <f>'табель ОВЗ обед'!C23</f>
        <v>0</v>
      </c>
      <c r="D23" s="199">
        <f>'табель ОВЗ обед'!D23</f>
        <v>0</v>
      </c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189"/>
      <c r="AJ23" s="189"/>
      <c r="AK23" s="189"/>
      <c r="AL23" s="189"/>
      <c r="AM23" s="189"/>
      <c r="AN23" s="189"/>
      <c r="AO23" s="189"/>
      <c r="AP23" s="189"/>
      <c r="AQ23" s="189"/>
      <c r="AR23" s="150">
        <f t="shared" si="8"/>
        <v>0</v>
      </c>
      <c r="AS23" s="12">
        <f t="shared" si="7"/>
        <v>0</v>
      </c>
      <c r="AT23" s="180">
        <f t="shared" si="9"/>
        <v>0</v>
      </c>
      <c r="AU23" s="179"/>
      <c r="AV23" s="14"/>
      <c r="AW23" s="176"/>
    </row>
    <row r="24" spans="1:49" s="13" customFormat="1" ht="18" hidden="1" customHeight="1" outlineLevel="1" x14ac:dyDescent="0.2">
      <c r="A24" s="158">
        <v>18</v>
      </c>
      <c r="B24" s="197">
        <f>'табель ОВЗ обед'!B24</f>
        <v>0</v>
      </c>
      <c r="C24" s="198">
        <f>'табель ОВЗ обед'!C24</f>
        <v>0</v>
      </c>
      <c r="D24" s="199">
        <f>'табель ОВЗ обед'!D24</f>
        <v>0</v>
      </c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189"/>
      <c r="AJ24" s="189"/>
      <c r="AK24" s="189"/>
      <c r="AL24" s="189"/>
      <c r="AM24" s="189"/>
      <c r="AN24" s="189"/>
      <c r="AO24" s="189"/>
      <c r="AP24" s="189"/>
      <c r="AQ24" s="189"/>
      <c r="AR24" s="150">
        <f t="shared" si="8"/>
        <v>0</v>
      </c>
      <c r="AS24" s="12">
        <f t="shared" si="7"/>
        <v>0</v>
      </c>
      <c r="AT24" s="180">
        <f t="shared" si="9"/>
        <v>0</v>
      </c>
      <c r="AU24" s="179"/>
      <c r="AV24" s="14"/>
      <c r="AW24" s="176"/>
    </row>
    <row r="25" spans="1:49" s="13" customFormat="1" ht="18" hidden="1" customHeight="1" outlineLevel="1" x14ac:dyDescent="0.2">
      <c r="A25" s="158">
        <v>19</v>
      </c>
      <c r="B25" s="197">
        <f>'табель ОВЗ обед'!B25</f>
        <v>0</v>
      </c>
      <c r="C25" s="198">
        <f>'табель ОВЗ обед'!C25</f>
        <v>0</v>
      </c>
      <c r="D25" s="199">
        <f>'табель ОВЗ обед'!D25</f>
        <v>0</v>
      </c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189"/>
      <c r="AJ25" s="189"/>
      <c r="AK25" s="189"/>
      <c r="AL25" s="189"/>
      <c r="AM25" s="189"/>
      <c r="AN25" s="189"/>
      <c r="AO25" s="189"/>
      <c r="AP25" s="189"/>
      <c r="AQ25" s="189"/>
      <c r="AR25" s="150">
        <f t="shared" si="8"/>
        <v>0</v>
      </c>
      <c r="AS25" s="12">
        <f t="shared" si="7"/>
        <v>0</v>
      </c>
      <c r="AT25" s="180">
        <f t="shared" si="9"/>
        <v>0</v>
      </c>
      <c r="AU25" s="179"/>
      <c r="AV25" s="14"/>
      <c r="AW25" s="176"/>
    </row>
    <row r="26" spans="1:49" s="13" customFormat="1" ht="18" hidden="1" customHeight="1" outlineLevel="1" x14ac:dyDescent="0.2">
      <c r="A26" s="158">
        <v>20</v>
      </c>
      <c r="B26" s="197">
        <f>'табель ОВЗ обед'!B26</f>
        <v>0</v>
      </c>
      <c r="C26" s="198">
        <f>'табель ОВЗ обед'!C26</f>
        <v>0</v>
      </c>
      <c r="D26" s="199">
        <f>'табель ОВЗ обед'!D26</f>
        <v>0</v>
      </c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189"/>
      <c r="AJ26" s="189"/>
      <c r="AK26" s="189"/>
      <c r="AL26" s="189"/>
      <c r="AM26" s="189"/>
      <c r="AN26" s="189"/>
      <c r="AO26" s="189"/>
      <c r="AP26" s="189"/>
      <c r="AQ26" s="189"/>
      <c r="AR26" s="150">
        <f t="shared" si="8"/>
        <v>0</v>
      </c>
      <c r="AS26" s="12">
        <f t="shared" si="7"/>
        <v>0</v>
      </c>
      <c r="AT26" s="180">
        <f t="shared" si="9"/>
        <v>0</v>
      </c>
      <c r="AU26" s="179"/>
      <c r="AV26" s="14"/>
      <c r="AW26" s="176"/>
    </row>
    <row r="27" spans="1:49" s="13" customFormat="1" ht="18" hidden="1" customHeight="1" outlineLevel="1" x14ac:dyDescent="0.2">
      <c r="A27" s="158">
        <v>21</v>
      </c>
      <c r="B27" s="197">
        <f>'табель ОВЗ обед'!B27</f>
        <v>0</v>
      </c>
      <c r="C27" s="198">
        <f>'табель ОВЗ обед'!C27</f>
        <v>0</v>
      </c>
      <c r="D27" s="199">
        <f>'табель ОВЗ обед'!D27</f>
        <v>0</v>
      </c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189"/>
      <c r="AJ27" s="189"/>
      <c r="AK27" s="189"/>
      <c r="AL27" s="189"/>
      <c r="AM27" s="189"/>
      <c r="AN27" s="189"/>
      <c r="AO27" s="189"/>
      <c r="AP27" s="189"/>
      <c r="AQ27" s="189"/>
      <c r="AR27" s="150">
        <f t="shared" si="8"/>
        <v>0</v>
      </c>
      <c r="AS27" s="12">
        <f t="shared" si="7"/>
        <v>0</v>
      </c>
      <c r="AT27" s="180">
        <f t="shared" si="9"/>
        <v>0</v>
      </c>
      <c r="AU27" s="179"/>
      <c r="AV27" s="14"/>
      <c r="AW27" s="176"/>
    </row>
    <row r="28" spans="1:49" s="13" customFormat="1" ht="18" hidden="1" customHeight="1" outlineLevel="1" x14ac:dyDescent="0.2">
      <c r="A28" s="158">
        <v>22</v>
      </c>
      <c r="B28" s="197">
        <f>'табель ОВЗ обед'!B28</f>
        <v>0</v>
      </c>
      <c r="C28" s="198">
        <f>'табель ОВЗ обед'!C28</f>
        <v>0</v>
      </c>
      <c r="D28" s="199">
        <f>'табель ОВЗ обед'!D28</f>
        <v>0</v>
      </c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189"/>
      <c r="AJ28" s="189"/>
      <c r="AK28" s="189"/>
      <c r="AL28" s="189"/>
      <c r="AM28" s="189"/>
      <c r="AN28" s="189"/>
      <c r="AO28" s="189"/>
      <c r="AP28" s="189"/>
      <c r="AQ28" s="189"/>
      <c r="AR28" s="150">
        <f t="shared" si="8"/>
        <v>0</v>
      </c>
      <c r="AS28" s="12">
        <f t="shared" si="7"/>
        <v>0</v>
      </c>
      <c r="AT28" s="180">
        <f t="shared" si="9"/>
        <v>0</v>
      </c>
      <c r="AU28" s="179"/>
      <c r="AV28" s="14"/>
      <c r="AW28" s="176"/>
    </row>
    <row r="29" spans="1:49" s="13" customFormat="1" ht="18" hidden="1" customHeight="1" outlineLevel="1" x14ac:dyDescent="0.2">
      <c r="A29" s="158">
        <v>23</v>
      </c>
      <c r="B29" s="197">
        <f>'табель ОВЗ обед'!B29</f>
        <v>0</v>
      </c>
      <c r="C29" s="198">
        <f>'табель ОВЗ обед'!C29</f>
        <v>0</v>
      </c>
      <c r="D29" s="199">
        <f>'табель ОВЗ обед'!D29</f>
        <v>0</v>
      </c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189"/>
      <c r="AJ29" s="189"/>
      <c r="AK29" s="189"/>
      <c r="AL29" s="189"/>
      <c r="AM29" s="189"/>
      <c r="AN29" s="189"/>
      <c r="AO29" s="189"/>
      <c r="AP29" s="189"/>
      <c r="AQ29" s="189"/>
      <c r="AR29" s="150">
        <f t="shared" si="8"/>
        <v>0</v>
      </c>
      <c r="AS29" s="12">
        <f t="shared" si="7"/>
        <v>0</v>
      </c>
      <c r="AT29" s="180">
        <f t="shared" si="9"/>
        <v>0</v>
      </c>
      <c r="AU29" s="179"/>
      <c r="AV29" s="14"/>
      <c r="AW29" s="176"/>
    </row>
    <row r="30" spans="1:49" s="13" customFormat="1" ht="18" hidden="1" customHeight="1" outlineLevel="1" x14ac:dyDescent="0.2">
      <c r="A30" s="158">
        <v>24</v>
      </c>
      <c r="B30" s="197">
        <f>'табель ОВЗ обед'!B30</f>
        <v>0</v>
      </c>
      <c r="C30" s="198">
        <f>'табель ОВЗ обед'!C30</f>
        <v>0</v>
      </c>
      <c r="D30" s="199">
        <f>'табель ОВЗ обед'!D30</f>
        <v>0</v>
      </c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189"/>
      <c r="AJ30" s="189"/>
      <c r="AK30" s="189"/>
      <c r="AL30" s="189"/>
      <c r="AM30" s="189"/>
      <c r="AN30" s="189"/>
      <c r="AO30" s="189"/>
      <c r="AP30" s="189"/>
      <c r="AQ30" s="189"/>
      <c r="AR30" s="150">
        <f t="shared" si="8"/>
        <v>0</v>
      </c>
      <c r="AS30" s="12">
        <f t="shared" si="7"/>
        <v>0</v>
      </c>
      <c r="AT30" s="180">
        <f t="shared" si="9"/>
        <v>0</v>
      </c>
      <c r="AU30" s="179"/>
      <c r="AV30" s="14"/>
      <c r="AW30" s="176"/>
    </row>
    <row r="31" spans="1:49" s="13" customFormat="1" ht="18" hidden="1" customHeight="1" outlineLevel="1" x14ac:dyDescent="0.2">
      <c r="A31" s="158">
        <v>25</v>
      </c>
      <c r="B31" s="197">
        <f>'табель ОВЗ обед'!B31</f>
        <v>0</v>
      </c>
      <c r="C31" s="198">
        <f>'табель ОВЗ обед'!C31</f>
        <v>0</v>
      </c>
      <c r="D31" s="199">
        <f>'табель ОВЗ обед'!D31</f>
        <v>0</v>
      </c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189"/>
      <c r="AJ31" s="189"/>
      <c r="AK31" s="189"/>
      <c r="AL31" s="189"/>
      <c r="AM31" s="189"/>
      <c r="AN31" s="189"/>
      <c r="AO31" s="189"/>
      <c r="AP31" s="189"/>
      <c r="AQ31" s="189"/>
      <c r="AR31" s="150">
        <f t="shared" si="8"/>
        <v>0</v>
      </c>
      <c r="AS31" s="12">
        <f t="shared" si="7"/>
        <v>0</v>
      </c>
      <c r="AT31" s="180">
        <f t="shared" si="9"/>
        <v>0</v>
      </c>
      <c r="AU31" s="179"/>
      <c r="AV31" s="14"/>
      <c r="AW31" s="176"/>
    </row>
    <row r="32" spans="1:49" s="13" customFormat="1" ht="18" hidden="1" customHeight="1" outlineLevel="2" x14ac:dyDescent="0.2">
      <c r="A32" s="158">
        <v>26</v>
      </c>
      <c r="B32" s="197">
        <f>'табель ОВЗ обед'!B32</f>
        <v>0</v>
      </c>
      <c r="C32" s="198">
        <f>'табель ОВЗ обед'!C32</f>
        <v>0</v>
      </c>
      <c r="D32" s="199">
        <f>'табель ОВЗ обед'!D32</f>
        <v>0</v>
      </c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189"/>
      <c r="AJ32" s="189"/>
      <c r="AK32" s="189"/>
      <c r="AL32" s="189"/>
      <c r="AM32" s="189"/>
      <c r="AN32" s="189"/>
      <c r="AO32" s="189"/>
      <c r="AP32" s="189"/>
      <c r="AQ32" s="189"/>
      <c r="AR32" s="150">
        <f>AT32</f>
        <v>0</v>
      </c>
      <c r="AS32" s="12">
        <f t="shared" si="7"/>
        <v>0</v>
      </c>
      <c r="AT32" s="180">
        <f t="shared" si="9"/>
        <v>0</v>
      </c>
      <c r="AU32" s="179"/>
      <c r="AV32" s="14"/>
      <c r="AW32" s="176"/>
    </row>
    <row r="33" spans="1:49" s="13" customFormat="1" ht="18" hidden="1" customHeight="1" outlineLevel="2" x14ac:dyDescent="0.2">
      <c r="A33" s="158">
        <v>27</v>
      </c>
      <c r="B33" s="197">
        <f>'табель ОВЗ обед'!B33</f>
        <v>0</v>
      </c>
      <c r="C33" s="198">
        <f>'табель ОВЗ обед'!C33</f>
        <v>0</v>
      </c>
      <c r="D33" s="199">
        <f>'табель ОВЗ обед'!D33</f>
        <v>0</v>
      </c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189"/>
      <c r="AJ33" s="189"/>
      <c r="AK33" s="189"/>
      <c r="AL33" s="189"/>
      <c r="AM33" s="189"/>
      <c r="AN33" s="189"/>
      <c r="AO33" s="189"/>
      <c r="AP33" s="189"/>
      <c r="AQ33" s="189"/>
      <c r="AR33" s="150">
        <f t="shared" si="8"/>
        <v>0</v>
      </c>
      <c r="AS33" s="12">
        <f t="shared" si="7"/>
        <v>0</v>
      </c>
      <c r="AT33" s="180">
        <f t="shared" si="9"/>
        <v>0</v>
      </c>
      <c r="AU33" s="179"/>
      <c r="AV33" s="14"/>
      <c r="AW33" s="176"/>
    </row>
    <row r="34" spans="1:49" s="13" customFormat="1" ht="18" hidden="1" customHeight="1" outlineLevel="2" x14ac:dyDescent="0.2">
      <c r="A34" s="158">
        <v>28</v>
      </c>
      <c r="B34" s="197">
        <f>'табель ОВЗ обед'!B34</f>
        <v>0</v>
      </c>
      <c r="C34" s="198">
        <f>'табель ОВЗ обед'!C34</f>
        <v>0</v>
      </c>
      <c r="D34" s="199">
        <f>'табель ОВЗ обед'!D34</f>
        <v>0</v>
      </c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189"/>
      <c r="AJ34" s="189"/>
      <c r="AK34" s="189"/>
      <c r="AL34" s="189"/>
      <c r="AM34" s="189"/>
      <c r="AN34" s="189"/>
      <c r="AO34" s="189"/>
      <c r="AP34" s="189"/>
      <c r="AQ34" s="189"/>
      <c r="AR34" s="150">
        <f t="shared" si="8"/>
        <v>0</v>
      </c>
      <c r="AS34" s="12">
        <f t="shared" si="7"/>
        <v>0</v>
      </c>
      <c r="AT34" s="180">
        <f t="shared" si="9"/>
        <v>0</v>
      </c>
      <c r="AU34" s="179"/>
      <c r="AV34" s="14"/>
      <c r="AW34" s="176"/>
    </row>
    <row r="35" spans="1:49" s="13" customFormat="1" ht="18" hidden="1" customHeight="1" outlineLevel="2" x14ac:dyDescent="0.2">
      <c r="A35" s="158">
        <v>29</v>
      </c>
      <c r="B35" s="197">
        <f>'табель ОВЗ обед'!B35</f>
        <v>0</v>
      </c>
      <c r="C35" s="198">
        <f>'табель ОВЗ обед'!C35</f>
        <v>0</v>
      </c>
      <c r="D35" s="199">
        <f>'табель ОВЗ обед'!D35</f>
        <v>0</v>
      </c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189"/>
      <c r="AJ35" s="189"/>
      <c r="AK35" s="189"/>
      <c r="AL35" s="189"/>
      <c r="AM35" s="189"/>
      <c r="AN35" s="189"/>
      <c r="AO35" s="189"/>
      <c r="AP35" s="189"/>
      <c r="AQ35" s="189"/>
      <c r="AR35" s="150">
        <f t="shared" si="8"/>
        <v>0</v>
      </c>
      <c r="AS35" s="12">
        <f t="shared" si="7"/>
        <v>0</v>
      </c>
      <c r="AT35" s="180">
        <f t="shared" si="9"/>
        <v>0</v>
      </c>
      <c r="AU35" s="179"/>
      <c r="AV35" s="14"/>
      <c r="AW35" s="176"/>
    </row>
    <row r="36" spans="1:49" s="13" customFormat="1" ht="18" hidden="1" customHeight="1" outlineLevel="2" x14ac:dyDescent="0.2">
      <c r="A36" s="158">
        <v>30</v>
      </c>
      <c r="B36" s="197">
        <f>'табель ОВЗ обед'!B36</f>
        <v>0</v>
      </c>
      <c r="C36" s="198">
        <f>'табель ОВЗ обед'!C36</f>
        <v>0</v>
      </c>
      <c r="D36" s="199">
        <f>'табель ОВЗ обед'!D36</f>
        <v>0</v>
      </c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189"/>
      <c r="AJ36" s="189"/>
      <c r="AK36" s="189"/>
      <c r="AL36" s="189"/>
      <c r="AM36" s="189"/>
      <c r="AN36" s="189"/>
      <c r="AO36" s="189"/>
      <c r="AP36" s="189"/>
      <c r="AQ36" s="189"/>
      <c r="AR36" s="150">
        <f t="shared" si="8"/>
        <v>0</v>
      </c>
      <c r="AS36" s="12">
        <f t="shared" si="7"/>
        <v>0</v>
      </c>
      <c r="AT36" s="180">
        <f t="shared" si="9"/>
        <v>0</v>
      </c>
      <c r="AU36" s="179"/>
      <c r="AV36" s="14"/>
      <c r="AW36" s="176"/>
    </row>
    <row r="37" spans="1:49" s="13" customFormat="1" ht="18" hidden="1" customHeight="1" outlineLevel="2" x14ac:dyDescent="0.2">
      <c r="A37" s="158">
        <v>31</v>
      </c>
      <c r="B37" s="197">
        <f>'табель ОВЗ обед'!B37</f>
        <v>0</v>
      </c>
      <c r="C37" s="198">
        <f>'табель ОВЗ обед'!C37</f>
        <v>0</v>
      </c>
      <c r="D37" s="199">
        <f>'табель ОВЗ обед'!D37</f>
        <v>0</v>
      </c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189"/>
      <c r="AJ37" s="189"/>
      <c r="AK37" s="189"/>
      <c r="AL37" s="189"/>
      <c r="AM37" s="189"/>
      <c r="AN37" s="189"/>
      <c r="AO37" s="189"/>
      <c r="AP37" s="189"/>
      <c r="AQ37" s="189"/>
      <c r="AR37" s="150">
        <f t="shared" si="8"/>
        <v>0</v>
      </c>
      <c r="AS37" s="12">
        <f t="shared" si="7"/>
        <v>0</v>
      </c>
      <c r="AT37" s="180">
        <f t="shared" si="9"/>
        <v>0</v>
      </c>
      <c r="AU37" s="179"/>
      <c r="AV37" s="14"/>
      <c r="AW37" s="176"/>
    </row>
    <row r="38" spans="1:49" s="13" customFormat="1" ht="18" hidden="1" customHeight="1" outlineLevel="2" x14ac:dyDescent="0.2">
      <c r="A38" s="158">
        <v>32</v>
      </c>
      <c r="B38" s="197">
        <f>'табель ОВЗ обед'!B38</f>
        <v>0</v>
      </c>
      <c r="C38" s="198">
        <f>'табель ОВЗ обед'!C38</f>
        <v>0</v>
      </c>
      <c r="D38" s="199">
        <f>'табель ОВЗ обед'!D38</f>
        <v>0</v>
      </c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189"/>
      <c r="AJ38" s="189"/>
      <c r="AK38" s="189"/>
      <c r="AL38" s="189"/>
      <c r="AM38" s="189"/>
      <c r="AN38" s="189"/>
      <c r="AO38" s="189"/>
      <c r="AP38" s="189"/>
      <c r="AQ38" s="189"/>
      <c r="AR38" s="150">
        <f t="shared" si="8"/>
        <v>0</v>
      </c>
      <c r="AS38" s="12">
        <f t="shared" si="7"/>
        <v>0</v>
      </c>
      <c r="AT38" s="180">
        <f t="shared" si="9"/>
        <v>0</v>
      </c>
      <c r="AU38" s="179"/>
      <c r="AV38" s="14"/>
      <c r="AW38" s="176"/>
    </row>
    <row r="39" spans="1:49" s="13" customFormat="1" ht="18" hidden="1" customHeight="1" outlineLevel="2" x14ac:dyDescent="0.2">
      <c r="A39" s="158">
        <v>33</v>
      </c>
      <c r="B39" s="197">
        <f>'табель ОВЗ обед'!B39</f>
        <v>0</v>
      </c>
      <c r="C39" s="198">
        <f>'табель ОВЗ обед'!C39</f>
        <v>0</v>
      </c>
      <c r="D39" s="199">
        <f>'табель ОВЗ обед'!D39</f>
        <v>0</v>
      </c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189"/>
      <c r="AJ39" s="189"/>
      <c r="AK39" s="189"/>
      <c r="AL39" s="189"/>
      <c r="AM39" s="189"/>
      <c r="AN39" s="189"/>
      <c r="AO39" s="189"/>
      <c r="AP39" s="189"/>
      <c r="AQ39" s="189"/>
      <c r="AR39" s="150">
        <f t="shared" si="8"/>
        <v>0</v>
      </c>
      <c r="AS39" s="12">
        <f t="shared" si="7"/>
        <v>0</v>
      </c>
      <c r="AT39" s="180">
        <f t="shared" si="9"/>
        <v>0</v>
      </c>
      <c r="AU39" s="179"/>
      <c r="AV39" s="14"/>
      <c r="AW39" s="176"/>
    </row>
    <row r="40" spans="1:49" s="13" customFormat="1" ht="18" hidden="1" customHeight="1" outlineLevel="2" x14ac:dyDescent="0.2">
      <c r="A40" s="158">
        <v>34</v>
      </c>
      <c r="B40" s="197">
        <f>'табель ОВЗ обед'!B40</f>
        <v>0</v>
      </c>
      <c r="C40" s="198">
        <f>'табель ОВЗ обед'!C40</f>
        <v>0</v>
      </c>
      <c r="D40" s="199">
        <f>'табель ОВЗ обед'!D40</f>
        <v>0</v>
      </c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189"/>
      <c r="AJ40" s="189"/>
      <c r="AK40" s="189"/>
      <c r="AL40" s="189"/>
      <c r="AM40" s="189"/>
      <c r="AN40" s="189"/>
      <c r="AO40" s="189"/>
      <c r="AP40" s="189"/>
      <c r="AQ40" s="189"/>
      <c r="AR40" s="150">
        <f t="shared" si="8"/>
        <v>0</v>
      </c>
      <c r="AS40" s="12">
        <f t="shared" si="7"/>
        <v>0</v>
      </c>
      <c r="AT40" s="180">
        <f t="shared" si="9"/>
        <v>0</v>
      </c>
      <c r="AU40" s="179"/>
      <c r="AV40" s="14"/>
      <c r="AW40" s="176"/>
    </row>
    <row r="41" spans="1:49" s="13" customFormat="1" ht="18" hidden="1" customHeight="1" outlineLevel="2" x14ac:dyDescent="0.2">
      <c r="A41" s="158">
        <v>35</v>
      </c>
      <c r="B41" s="197">
        <f>'табель ОВЗ обед'!B41</f>
        <v>0</v>
      </c>
      <c r="C41" s="198">
        <f>'табель ОВЗ обед'!C41</f>
        <v>0</v>
      </c>
      <c r="D41" s="199">
        <f>'табель ОВЗ обед'!D41</f>
        <v>0</v>
      </c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189"/>
      <c r="AJ41" s="189"/>
      <c r="AK41" s="189"/>
      <c r="AL41" s="189"/>
      <c r="AM41" s="189"/>
      <c r="AN41" s="189"/>
      <c r="AO41" s="189"/>
      <c r="AP41" s="189"/>
      <c r="AQ41" s="189"/>
      <c r="AR41" s="150">
        <f t="shared" si="8"/>
        <v>0</v>
      </c>
      <c r="AS41" s="12">
        <f t="shared" si="7"/>
        <v>0</v>
      </c>
      <c r="AT41" s="180">
        <f t="shared" si="9"/>
        <v>0</v>
      </c>
      <c r="AU41" s="179"/>
      <c r="AV41" s="14"/>
      <c r="AW41" s="176"/>
    </row>
    <row r="42" spans="1:49" s="13" customFormat="1" ht="18" hidden="1" customHeight="1" outlineLevel="2" x14ac:dyDescent="0.2">
      <c r="A42" s="158">
        <v>36</v>
      </c>
      <c r="B42" s="197">
        <f>'табель ОВЗ обед'!B42</f>
        <v>0</v>
      </c>
      <c r="C42" s="198">
        <f>'табель ОВЗ обед'!C42</f>
        <v>0</v>
      </c>
      <c r="D42" s="199">
        <f>'табель ОВЗ обед'!D42</f>
        <v>0</v>
      </c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189"/>
      <c r="AJ42" s="189"/>
      <c r="AK42" s="189"/>
      <c r="AL42" s="189"/>
      <c r="AM42" s="189"/>
      <c r="AN42" s="189"/>
      <c r="AO42" s="189"/>
      <c r="AP42" s="189"/>
      <c r="AQ42" s="189"/>
      <c r="AR42" s="150">
        <f t="shared" si="8"/>
        <v>0</v>
      </c>
      <c r="AS42" s="12">
        <f t="shared" si="7"/>
        <v>0</v>
      </c>
      <c r="AT42" s="180">
        <f t="shared" si="9"/>
        <v>0</v>
      </c>
      <c r="AU42" s="179"/>
      <c r="AV42" s="14"/>
      <c r="AW42" s="176"/>
    </row>
    <row r="43" spans="1:49" s="13" customFormat="1" ht="18" customHeight="1" outlineLevel="2" x14ac:dyDescent="0.2">
      <c r="A43" s="158"/>
      <c r="B43" s="197" t="s">
        <v>156</v>
      </c>
      <c r="C43" s="198" t="s">
        <v>116</v>
      </c>
      <c r="D43" s="199"/>
      <c r="E43" s="200">
        <v>1</v>
      </c>
      <c r="F43" s="200"/>
      <c r="G43" s="200">
        <v>1</v>
      </c>
      <c r="H43" s="200"/>
      <c r="I43" s="200"/>
      <c r="J43" s="200">
        <v>1</v>
      </c>
      <c r="K43" s="200">
        <v>1</v>
      </c>
      <c r="L43" s="200">
        <v>1</v>
      </c>
      <c r="M43" s="200">
        <v>1</v>
      </c>
      <c r="N43" s="200">
        <v>1</v>
      </c>
      <c r="O43" s="200"/>
      <c r="P43" s="200"/>
      <c r="Q43" s="200">
        <v>1</v>
      </c>
      <c r="R43" s="200">
        <v>1</v>
      </c>
      <c r="S43" s="200">
        <v>1</v>
      </c>
      <c r="T43" s="200">
        <v>1</v>
      </c>
      <c r="U43" s="200">
        <v>1</v>
      </c>
      <c r="V43" s="200"/>
      <c r="W43" s="200"/>
      <c r="X43" s="200">
        <v>1</v>
      </c>
      <c r="Y43" s="200">
        <v>1</v>
      </c>
      <c r="Z43" s="200">
        <v>1</v>
      </c>
      <c r="AA43" s="200">
        <v>1</v>
      </c>
      <c r="AB43" s="200"/>
      <c r="AC43" s="200"/>
      <c r="AD43" s="200">
        <v>1</v>
      </c>
      <c r="AE43" s="200">
        <v>1</v>
      </c>
      <c r="AF43" s="200">
        <v>1</v>
      </c>
      <c r="AG43" s="200">
        <v>1</v>
      </c>
      <c r="AH43" s="200">
        <v>1</v>
      </c>
      <c r="AI43" s="189"/>
      <c r="AJ43" s="189"/>
      <c r="AK43" s="189"/>
      <c r="AL43" s="189"/>
      <c r="AM43" s="189"/>
      <c r="AN43" s="189"/>
      <c r="AO43" s="189"/>
      <c r="AP43" s="189"/>
      <c r="AQ43" s="189"/>
      <c r="AR43" s="150"/>
      <c r="AS43" s="12"/>
      <c r="AT43" s="180"/>
      <c r="AU43" s="179"/>
      <c r="AV43" s="14"/>
      <c r="AW43" s="176"/>
    </row>
    <row r="44" spans="1:49" s="46" customFormat="1" ht="17.25" customHeight="1" x14ac:dyDescent="0.2">
      <c r="A44" s="427" t="s">
        <v>68</v>
      </c>
      <c r="B44" s="427"/>
      <c r="C44" s="201"/>
      <c r="D44" s="202"/>
      <c r="E44" s="202">
        <f t="shared" ref="E44:J44" si="10">SUM(E12:E16)</f>
        <v>0</v>
      </c>
      <c r="F44" s="202">
        <f t="shared" si="10"/>
        <v>0</v>
      </c>
      <c r="G44" s="202">
        <f t="shared" si="10"/>
        <v>0</v>
      </c>
      <c r="H44" s="202">
        <f t="shared" si="10"/>
        <v>0</v>
      </c>
      <c r="I44" s="202">
        <f t="shared" si="10"/>
        <v>0</v>
      </c>
      <c r="J44" s="202">
        <f t="shared" si="10"/>
        <v>0</v>
      </c>
      <c r="K44" s="202"/>
      <c r="L44" s="202">
        <f>SUM(L12:L42)</f>
        <v>1</v>
      </c>
      <c r="M44" s="202">
        <f t="shared" ref="M44:AH44" si="11">SUM(M12:M16)</f>
        <v>0</v>
      </c>
      <c r="N44" s="202">
        <f t="shared" si="11"/>
        <v>0</v>
      </c>
      <c r="O44" s="202">
        <f t="shared" si="11"/>
        <v>0</v>
      </c>
      <c r="P44" s="202">
        <f t="shared" si="11"/>
        <v>0</v>
      </c>
      <c r="Q44" s="202">
        <f t="shared" si="11"/>
        <v>1</v>
      </c>
      <c r="R44" s="202"/>
      <c r="S44" s="202">
        <f t="shared" si="11"/>
        <v>1</v>
      </c>
      <c r="T44" s="226">
        <f t="shared" si="11"/>
        <v>1</v>
      </c>
      <c r="U44" s="226">
        <f t="shared" si="11"/>
        <v>1</v>
      </c>
      <c r="V44" s="202">
        <f t="shared" si="11"/>
        <v>0</v>
      </c>
      <c r="W44" s="226">
        <f t="shared" si="11"/>
        <v>0</v>
      </c>
      <c r="X44" s="202">
        <f t="shared" si="11"/>
        <v>1</v>
      </c>
      <c r="Y44" s="202">
        <f t="shared" si="11"/>
        <v>0</v>
      </c>
      <c r="Z44" s="202">
        <f t="shared" si="11"/>
        <v>1</v>
      </c>
      <c r="AA44" s="202">
        <f t="shared" si="11"/>
        <v>1</v>
      </c>
      <c r="AB44" s="202">
        <f t="shared" si="11"/>
        <v>0</v>
      </c>
      <c r="AC44" s="202">
        <f t="shared" si="11"/>
        <v>0</v>
      </c>
      <c r="AD44" s="202">
        <f t="shared" si="11"/>
        <v>2</v>
      </c>
      <c r="AE44" s="202"/>
      <c r="AF44" s="202">
        <f t="shared" si="11"/>
        <v>1</v>
      </c>
      <c r="AG44" s="202"/>
      <c r="AH44" s="226">
        <f t="shared" si="11"/>
        <v>2</v>
      </c>
      <c r="AI44" s="202">
        <f t="shared" ref="AI44:AQ44" si="12">SUM(AI12:AI12)</f>
        <v>0</v>
      </c>
      <c r="AJ44" s="202">
        <f t="shared" si="12"/>
        <v>0</v>
      </c>
      <c r="AK44" s="202">
        <f t="shared" si="12"/>
        <v>0</v>
      </c>
      <c r="AL44" s="202">
        <f t="shared" si="12"/>
        <v>0</v>
      </c>
      <c r="AM44" s="202">
        <f t="shared" si="12"/>
        <v>0</v>
      </c>
      <c r="AN44" s="202">
        <f t="shared" si="12"/>
        <v>0</v>
      </c>
      <c r="AO44" s="202">
        <f t="shared" si="12"/>
        <v>0</v>
      </c>
      <c r="AP44" s="202">
        <f t="shared" si="12"/>
        <v>0</v>
      </c>
      <c r="AQ44" s="202">
        <f t="shared" si="12"/>
        <v>0</v>
      </c>
      <c r="AR44" s="153">
        <f>SUM(E44:AQ44)</f>
        <v>13</v>
      </c>
      <c r="AS44" s="12">
        <f>SUM(AS12:AS42)</f>
        <v>16</v>
      </c>
      <c r="AT44" s="225">
        <f>SUM(AT12:AT42)</f>
        <v>396.63</v>
      </c>
      <c r="AU44" s="143"/>
      <c r="AW44" s="173"/>
    </row>
    <row r="45" spans="1:49" s="46" customFormat="1" ht="60" customHeight="1" x14ac:dyDescent="0.2">
      <c r="A45" s="427" t="s">
        <v>69</v>
      </c>
      <c r="B45" s="427"/>
      <c r="C45" s="203"/>
      <c r="D45" s="204"/>
      <c r="E45" s="205">
        <f t="shared" ref="E45:AQ45" si="13">E44*E11</f>
        <v>0</v>
      </c>
      <c r="F45" s="205">
        <f t="shared" si="13"/>
        <v>0</v>
      </c>
      <c r="G45" s="205">
        <f t="shared" si="13"/>
        <v>0</v>
      </c>
      <c r="H45" s="205">
        <f t="shared" si="13"/>
        <v>0</v>
      </c>
      <c r="I45" s="205">
        <f t="shared" si="13"/>
        <v>0</v>
      </c>
      <c r="J45" s="205">
        <f t="shared" si="13"/>
        <v>0</v>
      </c>
      <c r="K45" s="205"/>
      <c r="L45" s="205">
        <f t="shared" si="13"/>
        <v>30.51</v>
      </c>
      <c r="M45" s="205">
        <f t="shared" si="13"/>
        <v>0</v>
      </c>
      <c r="N45" s="205">
        <f t="shared" si="13"/>
        <v>0</v>
      </c>
      <c r="O45" s="205">
        <f t="shared" si="13"/>
        <v>0</v>
      </c>
      <c r="P45" s="205">
        <f t="shared" si="13"/>
        <v>0</v>
      </c>
      <c r="Q45" s="205">
        <f t="shared" si="13"/>
        <v>30.51</v>
      </c>
      <c r="R45" s="205"/>
      <c r="S45" s="205">
        <f t="shared" si="13"/>
        <v>30.51</v>
      </c>
      <c r="T45" s="205">
        <f t="shared" si="13"/>
        <v>30.51</v>
      </c>
      <c r="U45" s="205">
        <f t="shared" si="13"/>
        <v>30.51</v>
      </c>
      <c r="V45" s="205">
        <f t="shared" si="13"/>
        <v>0</v>
      </c>
      <c r="W45" s="205">
        <f t="shared" si="13"/>
        <v>0</v>
      </c>
      <c r="X45" s="205">
        <f t="shared" si="13"/>
        <v>30.51</v>
      </c>
      <c r="Y45" s="205">
        <f t="shared" si="13"/>
        <v>0</v>
      </c>
      <c r="Z45" s="205">
        <f t="shared" si="13"/>
        <v>30.51</v>
      </c>
      <c r="AA45" s="205">
        <f t="shared" si="13"/>
        <v>30.51</v>
      </c>
      <c r="AB45" s="205">
        <f t="shared" si="13"/>
        <v>0</v>
      </c>
      <c r="AC45" s="205">
        <f t="shared" si="13"/>
        <v>0</v>
      </c>
      <c r="AD45" s="205">
        <f t="shared" si="13"/>
        <v>61.02</v>
      </c>
      <c r="AE45" s="205"/>
      <c r="AF45" s="205">
        <f t="shared" si="13"/>
        <v>30.51</v>
      </c>
      <c r="AG45" s="205"/>
      <c r="AH45" s="205">
        <f>AH44*AG11</f>
        <v>61.02</v>
      </c>
      <c r="AI45" s="205">
        <f t="shared" si="13"/>
        <v>0</v>
      </c>
      <c r="AJ45" s="205">
        <f t="shared" si="13"/>
        <v>0</v>
      </c>
      <c r="AK45" s="205">
        <f t="shared" si="13"/>
        <v>0</v>
      </c>
      <c r="AL45" s="205">
        <f t="shared" si="13"/>
        <v>0</v>
      </c>
      <c r="AM45" s="205">
        <f t="shared" si="13"/>
        <v>0</v>
      </c>
      <c r="AN45" s="205">
        <f t="shared" si="13"/>
        <v>0</v>
      </c>
      <c r="AO45" s="205">
        <f t="shared" si="13"/>
        <v>0</v>
      </c>
      <c r="AP45" s="205">
        <f t="shared" si="13"/>
        <v>0</v>
      </c>
      <c r="AQ45" s="205">
        <f t="shared" si="13"/>
        <v>0</v>
      </c>
      <c r="AR45" s="154">
        <f>SUM(E45:AQ45)</f>
        <v>396.62999999999994</v>
      </c>
      <c r="AS45" s="146"/>
      <c r="AU45" s="143"/>
      <c r="AW45" s="173"/>
    </row>
    <row r="46" spans="1:49" ht="18" hidden="1" customHeight="1" outlineLevel="1" x14ac:dyDescent="0.2">
      <c r="D46" s="157"/>
      <c r="E46" s="152"/>
      <c r="AT46" s="21"/>
    </row>
    <row r="47" spans="1:49" ht="24.95" hidden="1" customHeight="1" outlineLevel="1" x14ac:dyDescent="0.2">
      <c r="A47" s="215"/>
      <c r="B47" s="23"/>
      <c r="C47" s="23"/>
      <c r="D47" s="133"/>
      <c r="F47" s="23"/>
      <c r="G47" s="23"/>
      <c r="H47" s="23"/>
      <c r="I47" s="23"/>
      <c r="J47" s="23"/>
      <c r="K47" s="23"/>
      <c r="L47" s="23" t="s">
        <v>81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T47" s="24"/>
    </row>
    <row r="48" spans="1:49" ht="20.25" hidden="1" customHeight="1" outlineLevel="1" x14ac:dyDescent="0.2">
      <c r="D48" s="133"/>
      <c r="E48" s="23"/>
    </row>
    <row r="49" spans="4:46" ht="43.5" hidden="1" customHeight="1" outlineLevel="1" x14ac:dyDescent="0.2">
      <c r="D49" s="31" t="s">
        <v>66</v>
      </c>
      <c r="F49" s="155"/>
      <c r="G49" s="155"/>
      <c r="H49" s="155"/>
      <c r="I49" s="155"/>
      <c r="J49" s="155"/>
      <c r="K49" s="155"/>
      <c r="L49" s="155"/>
      <c r="M49" s="155"/>
      <c r="N49" s="155"/>
      <c r="O49" s="155"/>
      <c r="P49" s="155"/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G49" s="155"/>
      <c r="AH49" s="155"/>
      <c r="AI49" s="155"/>
      <c r="AT49" s="215" t="s">
        <v>58</v>
      </c>
    </row>
    <row r="50" spans="4:46" hidden="1" outlineLevel="1" x14ac:dyDescent="0.2">
      <c r="D50" s="29" t="s">
        <v>59</v>
      </c>
      <c r="E50" s="155"/>
      <c r="F50" s="156">
        <v>41</v>
      </c>
      <c r="G50" s="156">
        <v>40</v>
      </c>
      <c r="H50" s="156">
        <v>47</v>
      </c>
      <c r="I50" s="156">
        <v>33</v>
      </c>
      <c r="J50" s="156">
        <v>28</v>
      </c>
      <c r="K50" s="156"/>
      <c r="L50" s="156">
        <v>48</v>
      </c>
      <c r="M50" s="156"/>
      <c r="N50" s="156">
        <v>48</v>
      </c>
      <c r="O50" s="156">
        <v>49</v>
      </c>
      <c r="P50" s="156">
        <v>48</v>
      </c>
      <c r="Q50" s="156">
        <v>41</v>
      </c>
      <c r="R50" s="156"/>
      <c r="S50" s="156">
        <v>43</v>
      </c>
      <c r="T50" s="156">
        <v>48</v>
      </c>
      <c r="U50" s="156">
        <v>45</v>
      </c>
      <c r="V50" s="156">
        <v>42</v>
      </c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6"/>
      <c r="AK50" s="16"/>
      <c r="AL50" s="16"/>
      <c r="AM50" s="16"/>
      <c r="AN50" s="16"/>
      <c r="AO50" s="16"/>
      <c r="AP50" s="16"/>
      <c r="AQ50" s="16"/>
      <c r="AR50" s="147">
        <f>SUM(E50:AK50)</f>
        <v>601</v>
      </c>
    </row>
    <row r="51" spans="4:46" hidden="1" outlineLevel="1" x14ac:dyDescent="0.2">
      <c r="E51" s="156">
        <v>38</v>
      </c>
    </row>
    <row r="52" spans="4:46" hidden="1" outlineLevel="1" x14ac:dyDescent="0.2"/>
    <row r="53" spans="4:46" hidden="1" outlineLevel="1" x14ac:dyDescent="0.2"/>
    <row r="54" spans="4:46" hidden="1" outlineLevel="1" x14ac:dyDescent="0.2"/>
    <row r="55" spans="4:46" hidden="1" outlineLevel="1" x14ac:dyDescent="0.2">
      <c r="D55" s="29" t="s">
        <v>73</v>
      </c>
      <c r="F55" s="162">
        <f t="shared" ref="F55:L55" si="14">SUM(F12:F12)</f>
        <v>0</v>
      </c>
      <c r="G55" s="162">
        <f t="shared" si="14"/>
        <v>0</v>
      </c>
      <c r="H55" s="162">
        <f t="shared" si="14"/>
        <v>0</v>
      </c>
      <c r="I55" s="162">
        <f t="shared" si="14"/>
        <v>0</v>
      </c>
      <c r="J55" s="162">
        <f t="shared" si="14"/>
        <v>0</v>
      </c>
      <c r="K55" s="162"/>
      <c r="L55" s="162">
        <f t="shared" si="14"/>
        <v>0</v>
      </c>
      <c r="M55" s="162"/>
      <c r="N55" s="162">
        <f t="shared" ref="N55:AC55" si="15">SUM(N12:N12)</f>
        <v>0</v>
      </c>
      <c r="O55" s="162">
        <f t="shared" si="15"/>
        <v>0</v>
      </c>
      <c r="P55" s="162">
        <f t="shared" si="15"/>
        <v>0</v>
      </c>
      <c r="Q55" s="162">
        <f t="shared" si="15"/>
        <v>0</v>
      </c>
      <c r="R55" s="162"/>
      <c r="S55" s="162">
        <f t="shared" si="15"/>
        <v>1</v>
      </c>
      <c r="T55" s="162">
        <f t="shared" si="15"/>
        <v>1</v>
      </c>
      <c r="U55" s="162">
        <f t="shared" si="15"/>
        <v>1</v>
      </c>
      <c r="V55" s="162">
        <f t="shared" si="15"/>
        <v>0</v>
      </c>
      <c r="W55" s="162">
        <f t="shared" si="15"/>
        <v>0</v>
      </c>
      <c r="X55" s="162">
        <f t="shared" si="15"/>
        <v>1</v>
      </c>
      <c r="Y55" s="162">
        <f t="shared" si="15"/>
        <v>0</v>
      </c>
      <c r="Z55" s="162">
        <f t="shared" si="15"/>
        <v>1</v>
      </c>
      <c r="AA55" s="162">
        <f t="shared" si="15"/>
        <v>1</v>
      </c>
      <c r="AB55" s="162">
        <f t="shared" si="15"/>
        <v>0</v>
      </c>
      <c r="AC55" s="162">
        <f t="shared" si="15"/>
        <v>0</v>
      </c>
      <c r="AD55" s="162"/>
      <c r="AE55" s="162"/>
      <c r="AF55" s="162">
        <f>SUM(AF12:AF12)</f>
        <v>1</v>
      </c>
      <c r="AG55" s="162"/>
      <c r="AH55" s="162">
        <f>SUM(AH12:AH12)</f>
        <v>1</v>
      </c>
      <c r="AI55" s="162">
        <f>SUM(AI12:AI12)</f>
        <v>0</v>
      </c>
      <c r="AJ55" s="162">
        <f>SUM(AJ12:AJ12)</f>
        <v>0</v>
      </c>
      <c r="AK55" s="162">
        <f>SUM(AK12:AK12)</f>
        <v>0</v>
      </c>
      <c r="AL55" s="162"/>
      <c r="AM55" s="162"/>
      <c r="AN55" s="162"/>
      <c r="AO55" s="162"/>
      <c r="AP55" s="162"/>
      <c r="AQ55" s="162"/>
    </row>
    <row r="56" spans="4:46" hidden="1" outlineLevel="1" x14ac:dyDescent="0.2">
      <c r="D56" s="29" t="s">
        <v>74</v>
      </c>
      <c r="E56" s="162">
        <f>SUM(E12:E12)</f>
        <v>0</v>
      </c>
      <c r="F56" s="162" t="e">
        <f>SUM(#REF!)</f>
        <v>#REF!</v>
      </c>
      <c r="G56" s="162" t="e">
        <f>SUM(#REF!)</f>
        <v>#REF!</v>
      </c>
      <c r="H56" s="162" t="e">
        <f>SUM(#REF!)</f>
        <v>#REF!</v>
      </c>
      <c r="I56" s="162" t="e">
        <f>SUM(#REF!)</f>
        <v>#REF!</v>
      </c>
      <c r="J56" s="162" t="e">
        <f>SUM(#REF!)</f>
        <v>#REF!</v>
      </c>
      <c r="K56" s="162"/>
      <c r="L56" s="162" t="e">
        <f>SUM(#REF!)</f>
        <v>#REF!</v>
      </c>
      <c r="M56" s="162"/>
      <c r="N56" s="162" t="e">
        <f>SUM(#REF!)</f>
        <v>#REF!</v>
      </c>
      <c r="O56" s="162" t="e">
        <f>SUM(#REF!)</f>
        <v>#REF!</v>
      </c>
      <c r="P56" s="162" t="e">
        <f>SUM(#REF!)</f>
        <v>#REF!</v>
      </c>
      <c r="Q56" s="162" t="e">
        <f>SUM(#REF!)</f>
        <v>#REF!</v>
      </c>
      <c r="R56" s="162"/>
      <c r="S56" s="162" t="e">
        <f>SUM(#REF!)</f>
        <v>#REF!</v>
      </c>
      <c r="T56" s="162" t="e">
        <f>SUM(#REF!)</f>
        <v>#REF!</v>
      </c>
      <c r="U56" s="162" t="e">
        <f>SUM(#REF!)</f>
        <v>#REF!</v>
      </c>
      <c r="V56" s="162" t="e">
        <f>SUM(#REF!)</f>
        <v>#REF!</v>
      </c>
      <c r="W56" s="162" t="e">
        <f>SUM(#REF!)</f>
        <v>#REF!</v>
      </c>
      <c r="X56" s="162" t="e">
        <f>SUM(#REF!)</f>
        <v>#REF!</v>
      </c>
      <c r="Y56" s="162" t="e">
        <f>SUM(#REF!)</f>
        <v>#REF!</v>
      </c>
      <c r="Z56" s="162" t="e">
        <f>SUM(#REF!)</f>
        <v>#REF!</v>
      </c>
      <c r="AA56" s="162" t="e">
        <f>SUM(#REF!)</f>
        <v>#REF!</v>
      </c>
      <c r="AB56" s="162" t="e">
        <f>SUM(#REF!)</f>
        <v>#REF!</v>
      </c>
      <c r="AC56" s="162" t="e">
        <f>SUM(#REF!)</f>
        <v>#REF!</v>
      </c>
      <c r="AD56" s="162"/>
      <c r="AE56" s="162"/>
      <c r="AF56" s="162" t="e">
        <f>SUM(#REF!)</f>
        <v>#REF!</v>
      </c>
      <c r="AG56" s="162"/>
      <c r="AH56" s="162" t="e">
        <f>SUM(#REF!)</f>
        <v>#REF!</v>
      </c>
      <c r="AI56" s="162" t="e">
        <f>SUM(#REF!)</f>
        <v>#REF!</v>
      </c>
      <c r="AJ56" s="162" t="e">
        <f>SUM(#REF!)</f>
        <v>#REF!</v>
      </c>
      <c r="AK56" s="162" t="e">
        <f>SUM(#REF!)</f>
        <v>#REF!</v>
      </c>
      <c r="AL56" s="162"/>
      <c r="AM56" s="162"/>
      <c r="AN56" s="162"/>
      <c r="AO56" s="162"/>
      <c r="AP56" s="162"/>
      <c r="AQ56" s="162"/>
    </row>
    <row r="57" spans="4:46" hidden="1" outlineLevel="1" x14ac:dyDescent="0.2">
      <c r="D57" s="29" t="s">
        <v>75</v>
      </c>
      <c r="E57" s="162" t="e">
        <f>SUM(#REF!)</f>
        <v>#REF!</v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</row>
    <row r="58" spans="4:46" hidden="1" outlineLevel="1" x14ac:dyDescent="0.2">
      <c r="D58" s="29" t="s">
        <v>76</v>
      </c>
      <c r="E58" s="162"/>
      <c r="F58" s="162" t="e">
        <f>SUM(#REF!)</f>
        <v>#REF!</v>
      </c>
      <c r="G58" s="162" t="e">
        <f>SUM(#REF!)</f>
        <v>#REF!</v>
      </c>
      <c r="H58" s="162" t="e">
        <f>SUM(#REF!)</f>
        <v>#REF!</v>
      </c>
      <c r="I58" s="162" t="e">
        <f>SUM(#REF!)</f>
        <v>#REF!</v>
      </c>
      <c r="J58" s="162" t="e">
        <f>SUM(#REF!)</f>
        <v>#REF!</v>
      </c>
      <c r="K58" s="162"/>
      <c r="L58" s="162" t="e">
        <f>SUM(#REF!)</f>
        <v>#REF!</v>
      </c>
      <c r="M58" s="162"/>
      <c r="N58" s="162" t="e">
        <f>SUM(#REF!)</f>
        <v>#REF!</v>
      </c>
      <c r="O58" s="162" t="e">
        <f>SUM(#REF!)</f>
        <v>#REF!</v>
      </c>
      <c r="P58" s="162" t="e">
        <f>SUM(#REF!)</f>
        <v>#REF!</v>
      </c>
      <c r="Q58" s="162" t="e">
        <f>SUM(#REF!)</f>
        <v>#REF!</v>
      </c>
      <c r="R58" s="162"/>
      <c r="S58" s="162" t="e">
        <f>SUM(#REF!)</f>
        <v>#REF!</v>
      </c>
      <c r="T58" s="162" t="e">
        <f>SUM(#REF!)</f>
        <v>#REF!</v>
      </c>
      <c r="U58" s="162" t="e">
        <f>SUM(#REF!)</f>
        <v>#REF!</v>
      </c>
      <c r="V58" s="162" t="e">
        <f>SUM(#REF!)</f>
        <v>#REF!</v>
      </c>
      <c r="W58" s="162" t="e">
        <f>SUM(#REF!)</f>
        <v>#REF!</v>
      </c>
      <c r="X58" s="162" t="e">
        <f>SUM(#REF!)</f>
        <v>#REF!</v>
      </c>
      <c r="Y58" s="162" t="e">
        <f>SUM(#REF!)</f>
        <v>#REF!</v>
      </c>
      <c r="Z58" s="162" t="e">
        <f>SUM(#REF!)</f>
        <v>#REF!</v>
      </c>
      <c r="AA58" s="162" t="e">
        <f>SUM(#REF!)</f>
        <v>#REF!</v>
      </c>
      <c r="AB58" s="162" t="e">
        <f>SUM(#REF!)</f>
        <v>#REF!</v>
      </c>
      <c r="AC58" s="162" t="e">
        <f>SUM(#REF!)</f>
        <v>#REF!</v>
      </c>
      <c r="AD58" s="162"/>
      <c r="AE58" s="162"/>
      <c r="AF58" s="162" t="e">
        <f>SUM(#REF!)</f>
        <v>#REF!</v>
      </c>
      <c r="AG58" s="162"/>
      <c r="AH58" s="162" t="e">
        <f>SUM(#REF!)</f>
        <v>#REF!</v>
      </c>
      <c r="AI58" s="162" t="e">
        <f>SUM(#REF!)</f>
        <v>#REF!</v>
      </c>
      <c r="AJ58" s="162" t="e">
        <f>SUM(#REF!)</f>
        <v>#REF!</v>
      </c>
      <c r="AK58" s="162" t="e">
        <f>SUM(#REF!)</f>
        <v>#REF!</v>
      </c>
      <c r="AL58" s="162"/>
      <c r="AM58" s="162"/>
      <c r="AN58" s="162"/>
      <c r="AO58" s="162"/>
      <c r="AP58" s="162"/>
      <c r="AQ58" s="162"/>
    </row>
    <row r="59" spans="4:46" hidden="1" outlineLevel="1" x14ac:dyDescent="0.2">
      <c r="E59" s="162">
        <f t="shared" ref="E59" si="16">SUM(E44:E44)</f>
        <v>0</v>
      </c>
      <c r="F59" s="162" t="e">
        <f t="shared" ref="E59:F60" si="17">SUM(F55:F58)</f>
        <v>#REF!</v>
      </c>
      <c r="G59" s="162" t="e">
        <f>SUM(G55:G58)</f>
        <v>#REF!</v>
      </c>
      <c r="H59" s="162" t="e">
        <f t="shared" ref="H59:AK59" si="18">SUM(H55:H58)</f>
        <v>#REF!</v>
      </c>
      <c r="I59" s="162" t="e">
        <f t="shared" si="18"/>
        <v>#REF!</v>
      </c>
      <c r="J59" s="162" t="e">
        <f t="shared" si="18"/>
        <v>#REF!</v>
      </c>
      <c r="K59" s="162"/>
      <c r="L59" s="162" t="e">
        <f t="shared" si="18"/>
        <v>#REF!</v>
      </c>
      <c r="M59" s="162"/>
      <c r="N59" s="162" t="e">
        <f t="shared" si="18"/>
        <v>#REF!</v>
      </c>
      <c r="O59" s="162" t="e">
        <f t="shared" si="18"/>
        <v>#REF!</v>
      </c>
      <c r="P59" s="162" t="e">
        <f t="shared" si="18"/>
        <v>#REF!</v>
      </c>
      <c r="Q59" s="162" t="e">
        <f t="shared" si="18"/>
        <v>#REF!</v>
      </c>
      <c r="R59" s="162"/>
      <c r="S59" s="162" t="e">
        <f t="shared" si="18"/>
        <v>#REF!</v>
      </c>
      <c r="T59" s="162" t="e">
        <f t="shared" si="18"/>
        <v>#REF!</v>
      </c>
      <c r="U59" s="162" t="e">
        <f t="shared" si="18"/>
        <v>#REF!</v>
      </c>
      <c r="V59" s="162" t="e">
        <f t="shared" si="18"/>
        <v>#REF!</v>
      </c>
      <c r="W59" s="162" t="e">
        <f t="shared" si="18"/>
        <v>#REF!</v>
      </c>
      <c r="X59" s="162" t="e">
        <f t="shared" si="18"/>
        <v>#REF!</v>
      </c>
      <c r="Y59" s="162" t="e">
        <f t="shared" si="18"/>
        <v>#REF!</v>
      </c>
      <c r="Z59" s="162" t="e">
        <f t="shared" si="18"/>
        <v>#REF!</v>
      </c>
      <c r="AA59" s="162" t="e">
        <f t="shared" si="18"/>
        <v>#REF!</v>
      </c>
      <c r="AB59" s="162" t="e">
        <f t="shared" si="18"/>
        <v>#REF!</v>
      </c>
      <c r="AC59" s="162" t="e">
        <f t="shared" si="18"/>
        <v>#REF!</v>
      </c>
      <c r="AD59" s="162"/>
      <c r="AE59" s="162"/>
      <c r="AF59" s="162" t="e">
        <f t="shared" si="18"/>
        <v>#REF!</v>
      </c>
      <c r="AG59" s="162"/>
      <c r="AH59" s="162" t="e">
        <f t="shared" si="18"/>
        <v>#REF!</v>
      </c>
      <c r="AI59" s="162" t="e">
        <f t="shared" si="18"/>
        <v>#REF!</v>
      </c>
      <c r="AJ59" s="162" t="e">
        <f t="shared" si="18"/>
        <v>#REF!</v>
      </c>
      <c r="AK59" s="162" t="e">
        <f t="shared" si="18"/>
        <v>#REF!</v>
      </c>
      <c r="AL59" s="162"/>
      <c r="AM59" s="162"/>
      <c r="AN59" s="162"/>
      <c r="AO59" s="162"/>
      <c r="AP59" s="162"/>
      <c r="AQ59" s="162"/>
    </row>
    <row r="60" spans="4:46" hidden="1" outlineLevel="1" x14ac:dyDescent="0.2">
      <c r="E60" s="162" t="e">
        <f t="shared" si="17"/>
        <v>#REF!</v>
      </c>
    </row>
    <row r="61" spans="4:46" hidden="1" outlineLevel="1" x14ac:dyDescent="0.2"/>
    <row r="62" spans="4:46" hidden="1" outlineLevel="1" x14ac:dyDescent="0.2"/>
    <row r="63" spans="4:46" hidden="1" outlineLevel="1" x14ac:dyDescent="0.2"/>
    <row r="64" spans="4:46" hidden="1" outlineLevel="1" x14ac:dyDescent="0.2"/>
    <row r="65" spans="20:20" hidden="1" outlineLevel="1" x14ac:dyDescent="0.2"/>
    <row r="66" spans="20:20" hidden="1" outlineLevel="1" x14ac:dyDescent="0.2"/>
    <row r="67" spans="20:20" hidden="1" outlineLevel="1" x14ac:dyDescent="0.2"/>
    <row r="68" spans="20:20" hidden="1" outlineLevel="1" x14ac:dyDescent="0.2"/>
    <row r="69" spans="20:20" hidden="1" outlineLevel="1" x14ac:dyDescent="0.2"/>
    <row r="70" spans="20:20" hidden="1" outlineLevel="1" x14ac:dyDescent="0.2"/>
    <row r="71" spans="20:20" hidden="1" outlineLevel="1" x14ac:dyDescent="0.2"/>
    <row r="72" spans="20:20" hidden="1" outlineLevel="1" x14ac:dyDescent="0.2"/>
    <row r="73" spans="20:20" collapsed="1" x14ac:dyDescent="0.2"/>
    <row r="80" spans="20:20" x14ac:dyDescent="0.2">
      <c r="T80" s="215" t="s">
        <v>96</v>
      </c>
    </row>
  </sheetData>
  <mergeCells count="7">
    <mergeCell ref="A45:B45"/>
    <mergeCell ref="S7:U7"/>
    <mergeCell ref="A9:A11"/>
    <mergeCell ref="B9:C11"/>
    <mergeCell ref="AR9:AR10"/>
    <mergeCell ref="D10:D11"/>
    <mergeCell ref="A44:B44"/>
  </mergeCells>
  <pageMargins left="0.31496062992125984" right="0.31496062992125984" top="0.55118110236220474" bottom="0.55118110236220474" header="0.31496062992125984" footer="0"/>
  <pageSetup paperSize="9" scale="63" fitToHeight="3" orientation="landscape" r:id="rId1"/>
  <headerFooter>
    <oddFooter>&amp;LМЦК-ЧЭМК Минобразования Чувашии&amp;CТабель питания студентов категории "малоимущие"&amp;Rстраница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92D050"/>
    <pageSetUpPr fitToPage="1"/>
  </sheetPr>
  <dimension ref="A1:AU73"/>
  <sheetViews>
    <sheetView showGridLines="0" zoomScaleNormal="100" workbookViewId="0">
      <pane xSplit="4" ySplit="11" topLeftCell="E12" activePane="bottomRight" state="frozen"/>
      <selection pane="topRight" activeCell="E1" sqref="E1"/>
      <selection pane="bottomLeft" activeCell="A6" sqref="A6"/>
      <selection pane="bottomRight" activeCell="D14" sqref="D14"/>
    </sheetView>
  </sheetViews>
  <sheetFormatPr defaultRowHeight="12.75" outlineLevelRow="2" outlineLevelCol="1" x14ac:dyDescent="0.2"/>
  <cols>
    <col min="1" max="1" width="3.7109375" style="20" customWidth="1"/>
    <col min="2" max="2" width="38" style="215" customWidth="1"/>
    <col min="3" max="3" width="11.7109375" style="215" customWidth="1"/>
    <col min="4" max="4" width="11.5703125" style="20" customWidth="1"/>
    <col min="5" max="5" width="6" style="215" customWidth="1"/>
    <col min="6" max="10" width="5.7109375" style="215" customWidth="1"/>
    <col min="11" max="11" width="5.7109375" style="252" customWidth="1"/>
    <col min="12" max="17" width="5.7109375" style="215" customWidth="1"/>
    <col min="18" max="18" width="5.7109375" style="252" customWidth="1"/>
    <col min="19" max="21" width="5.7109375" style="215" customWidth="1"/>
    <col min="22" max="22" width="6" style="215" customWidth="1"/>
    <col min="23" max="24" width="5.7109375" style="215" customWidth="1"/>
    <col min="25" max="30" width="5.7109375" style="215" hidden="1" customWidth="1"/>
    <col min="31" max="31" width="5.7109375" style="215" customWidth="1" outlineLevel="1"/>
    <col min="32" max="33" width="5.7109375" style="13" customWidth="1" outlineLevel="1"/>
    <col min="34" max="40" width="5.85546875" style="13" customWidth="1" outlineLevel="1"/>
    <col min="41" max="41" width="11.42578125" style="46" customWidth="1"/>
    <col min="42" max="42" width="9.42578125" style="20" customWidth="1"/>
    <col min="43" max="43" width="11.5703125" style="215" bestFit="1" customWidth="1"/>
    <col min="44" max="44" width="0" hidden="1" customWidth="1" outlineLevel="1"/>
    <col min="45" max="45" width="0" style="215" hidden="1" customWidth="1" outlineLevel="1"/>
    <col min="46" max="46" width="5" style="134" hidden="1" customWidth="1" outlineLevel="1"/>
    <col min="47" max="47" width="9.140625" style="215" collapsed="1"/>
    <col min="48" max="262" width="9.140625" style="215"/>
    <col min="263" max="263" width="3.7109375" style="215" customWidth="1"/>
    <col min="264" max="264" width="34.42578125" style="215" customWidth="1"/>
    <col min="265" max="265" width="11.5703125" style="215" customWidth="1"/>
    <col min="266" max="266" width="11.7109375" style="215" customWidth="1"/>
    <col min="267" max="293" width="8.42578125" style="215" customWidth="1"/>
    <col min="294" max="294" width="11.42578125" style="215" customWidth="1"/>
    <col min="295" max="295" width="9.42578125" style="215" customWidth="1"/>
    <col min="296" max="296" width="11.5703125" style="215" bestFit="1" customWidth="1"/>
    <col min="297" max="297" width="9.28515625" style="215" bestFit="1" customWidth="1"/>
    <col min="298" max="518" width="9.140625" style="215"/>
    <col min="519" max="519" width="3.7109375" style="215" customWidth="1"/>
    <col min="520" max="520" width="34.42578125" style="215" customWidth="1"/>
    <col min="521" max="521" width="11.5703125" style="215" customWidth="1"/>
    <col min="522" max="522" width="11.7109375" style="215" customWidth="1"/>
    <col min="523" max="549" width="8.42578125" style="215" customWidth="1"/>
    <col min="550" max="550" width="11.42578125" style="215" customWidth="1"/>
    <col min="551" max="551" width="9.42578125" style="215" customWidth="1"/>
    <col min="552" max="552" width="11.5703125" style="215" bestFit="1" customWidth="1"/>
    <col min="553" max="553" width="9.28515625" style="215" bestFit="1" customWidth="1"/>
    <col min="554" max="774" width="9.140625" style="215"/>
    <col min="775" max="775" width="3.7109375" style="215" customWidth="1"/>
    <col min="776" max="776" width="34.42578125" style="215" customWidth="1"/>
    <col min="777" max="777" width="11.5703125" style="215" customWidth="1"/>
    <col min="778" max="778" width="11.7109375" style="215" customWidth="1"/>
    <col min="779" max="805" width="8.42578125" style="215" customWidth="1"/>
    <col min="806" max="806" width="11.42578125" style="215" customWidth="1"/>
    <col min="807" max="807" width="9.42578125" style="215" customWidth="1"/>
    <col min="808" max="808" width="11.5703125" style="215" bestFit="1" customWidth="1"/>
    <col min="809" max="809" width="9.28515625" style="215" bestFit="1" customWidth="1"/>
    <col min="810" max="1030" width="9.140625" style="215"/>
    <col min="1031" max="1031" width="3.7109375" style="215" customWidth="1"/>
    <col min="1032" max="1032" width="34.42578125" style="215" customWidth="1"/>
    <col min="1033" max="1033" width="11.5703125" style="215" customWidth="1"/>
    <col min="1034" max="1034" width="11.7109375" style="215" customWidth="1"/>
    <col min="1035" max="1061" width="8.42578125" style="215" customWidth="1"/>
    <col min="1062" max="1062" width="11.42578125" style="215" customWidth="1"/>
    <col min="1063" max="1063" width="9.42578125" style="215" customWidth="1"/>
    <col min="1064" max="1064" width="11.5703125" style="215" bestFit="1" customWidth="1"/>
    <col min="1065" max="1065" width="9.28515625" style="215" bestFit="1" customWidth="1"/>
    <col min="1066" max="1286" width="9.140625" style="215"/>
    <col min="1287" max="1287" width="3.7109375" style="215" customWidth="1"/>
    <col min="1288" max="1288" width="34.42578125" style="215" customWidth="1"/>
    <col min="1289" max="1289" width="11.5703125" style="215" customWidth="1"/>
    <col min="1290" max="1290" width="11.7109375" style="215" customWidth="1"/>
    <col min="1291" max="1317" width="8.42578125" style="215" customWidth="1"/>
    <col min="1318" max="1318" width="11.42578125" style="215" customWidth="1"/>
    <col min="1319" max="1319" width="9.42578125" style="215" customWidth="1"/>
    <col min="1320" max="1320" width="11.5703125" style="215" bestFit="1" customWidth="1"/>
    <col min="1321" max="1321" width="9.28515625" style="215" bestFit="1" customWidth="1"/>
    <col min="1322" max="1542" width="9.140625" style="215"/>
    <col min="1543" max="1543" width="3.7109375" style="215" customWidth="1"/>
    <col min="1544" max="1544" width="34.42578125" style="215" customWidth="1"/>
    <col min="1545" max="1545" width="11.5703125" style="215" customWidth="1"/>
    <col min="1546" max="1546" width="11.7109375" style="215" customWidth="1"/>
    <col min="1547" max="1573" width="8.42578125" style="215" customWidth="1"/>
    <col min="1574" max="1574" width="11.42578125" style="215" customWidth="1"/>
    <col min="1575" max="1575" width="9.42578125" style="215" customWidth="1"/>
    <col min="1576" max="1576" width="11.5703125" style="215" bestFit="1" customWidth="1"/>
    <col min="1577" max="1577" width="9.28515625" style="215" bestFit="1" customWidth="1"/>
    <col min="1578" max="1798" width="9.140625" style="215"/>
    <col min="1799" max="1799" width="3.7109375" style="215" customWidth="1"/>
    <col min="1800" max="1800" width="34.42578125" style="215" customWidth="1"/>
    <col min="1801" max="1801" width="11.5703125" style="215" customWidth="1"/>
    <col min="1802" max="1802" width="11.7109375" style="215" customWidth="1"/>
    <col min="1803" max="1829" width="8.42578125" style="215" customWidth="1"/>
    <col min="1830" max="1830" width="11.42578125" style="215" customWidth="1"/>
    <col min="1831" max="1831" width="9.42578125" style="215" customWidth="1"/>
    <col min="1832" max="1832" width="11.5703125" style="215" bestFit="1" customWidth="1"/>
    <col min="1833" max="1833" width="9.28515625" style="215" bestFit="1" customWidth="1"/>
    <col min="1834" max="2054" width="9.140625" style="215"/>
    <col min="2055" max="2055" width="3.7109375" style="215" customWidth="1"/>
    <col min="2056" max="2056" width="34.42578125" style="215" customWidth="1"/>
    <col min="2057" max="2057" width="11.5703125" style="215" customWidth="1"/>
    <col min="2058" max="2058" width="11.7109375" style="215" customWidth="1"/>
    <col min="2059" max="2085" width="8.42578125" style="215" customWidth="1"/>
    <col min="2086" max="2086" width="11.42578125" style="215" customWidth="1"/>
    <col min="2087" max="2087" width="9.42578125" style="215" customWidth="1"/>
    <col min="2088" max="2088" width="11.5703125" style="215" bestFit="1" customWidth="1"/>
    <col min="2089" max="2089" width="9.28515625" style="215" bestFit="1" customWidth="1"/>
    <col min="2090" max="2310" width="9.140625" style="215"/>
    <col min="2311" max="2311" width="3.7109375" style="215" customWidth="1"/>
    <col min="2312" max="2312" width="34.42578125" style="215" customWidth="1"/>
    <col min="2313" max="2313" width="11.5703125" style="215" customWidth="1"/>
    <col min="2314" max="2314" width="11.7109375" style="215" customWidth="1"/>
    <col min="2315" max="2341" width="8.42578125" style="215" customWidth="1"/>
    <col min="2342" max="2342" width="11.42578125" style="215" customWidth="1"/>
    <col min="2343" max="2343" width="9.42578125" style="215" customWidth="1"/>
    <col min="2344" max="2344" width="11.5703125" style="215" bestFit="1" customWidth="1"/>
    <col min="2345" max="2345" width="9.28515625" style="215" bestFit="1" customWidth="1"/>
    <col min="2346" max="2566" width="9.140625" style="215"/>
    <col min="2567" max="2567" width="3.7109375" style="215" customWidth="1"/>
    <col min="2568" max="2568" width="34.42578125" style="215" customWidth="1"/>
    <col min="2569" max="2569" width="11.5703125" style="215" customWidth="1"/>
    <col min="2570" max="2570" width="11.7109375" style="215" customWidth="1"/>
    <col min="2571" max="2597" width="8.42578125" style="215" customWidth="1"/>
    <col min="2598" max="2598" width="11.42578125" style="215" customWidth="1"/>
    <col min="2599" max="2599" width="9.42578125" style="215" customWidth="1"/>
    <col min="2600" max="2600" width="11.5703125" style="215" bestFit="1" customWidth="1"/>
    <col min="2601" max="2601" width="9.28515625" style="215" bestFit="1" customWidth="1"/>
    <col min="2602" max="2822" width="9.140625" style="215"/>
    <col min="2823" max="2823" width="3.7109375" style="215" customWidth="1"/>
    <col min="2824" max="2824" width="34.42578125" style="215" customWidth="1"/>
    <col min="2825" max="2825" width="11.5703125" style="215" customWidth="1"/>
    <col min="2826" max="2826" width="11.7109375" style="215" customWidth="1"/>
    <col min="2827" max="2853" width="8.42578125" style="215" customWidth="1"/>
    <col min="2854" max="2854" width="11.42578125" style="215" customWidth="1"/>
    <col min="2855" max="2855" width="9.42578125" style="215" customWidth="1"/>
    <col min="2856" max="2856" width="11.5703125" style="215" bestFit="1" customWidth="1"/>
    <col min="2857" max="2857" width="9.28515625" style="215" bestFit="1" customWidth="1"/>
    <col min="2858" max="3078" width="9.140625" style="215"/>
    <col min="3079" max="3079" width="3.7109375" style="215" customWidth="1"/>
    <col min="3080" max="3080" width="34.42578125" style="215" customWidth="1"/>
    <col min="3081" max="3081" width="11.5703125" style="215" customWidth="1"/>
    <col min="3082" max="3082" width="11.7109375" style="215" customWidth="1"/>
    <col min="3083" max="3109" width="8.42578125" style="215" customWidth="1"/>
    <col min="3110" max="3110" width="11.42578125" style="215" customWidth="1"/>
    <col min="3111" max="3111" width="9.42578125" style="215" customWidth="1"/>
    <col min="3112" max="3112" width="11.5703125" style="215" bestFit="1" customWidth="1"/>
    <col min="3113" max="3113" width="9.28515625" style="215" bestFit="1" customWidth="1"/>
    <col min="3114" max="3334" width="9.140625" style="215"/>
    <col min="3335" max="3335" width="3.7109375" style="215" customWidth="1"/>
    <col min="3336" max="3336" width="34.42578125" style="215" customWidth="1"/>
    <col min="3337" max="3337" width="11.5703125" style="215" customWidth="1"/>
    <col min="3338" max="3338" width="11.7109375" style="215" customWidth="1"/>
    <col min="3339" max="3365" width="8.42578125" style="215" customWidth="1"/>
    <col min="3366" max="3366" width="11.42578125" style="215" customWidth="1"/>
    <col min="3367" max="3367" width="9.42578125" style="215" customWidth="1"/>
    <col min="3368" max="3368" width="11.5703125" style="215" bestFit="1" customWidth="1"/>
    <col min="3369" max="3369" width="9.28515625" style="215" bestFit="1" customWidth="1"/>
    <col min="3370" max="3590" width="9.140625" style="215"/>
    <col min="3591" max="3591" width="3.7109375" style="215" customWidth="1"/>
    <col min="3592" max="3592" width="34.42578125" style="215" customWidth="1"/>
    <col min="3593" max="3593" width="11.5703125" style="215" customWidth="1"/>
    <col min="3594" max="3594" width="11.7109375" style="215" customWidth="1"/>
    <col min="3595" max="3621" width="8.42578125" style="215" customWidth="1"/>
    <col min="3622" max="3622" width="11.42578125" style="215" customWidth="1"/>
    <col min="3623" max="3623" width="9.42578125" style="215" customWidth="1"/>
    <col min="3624" max="3624" width="11.5703125" style="215" bestFit="1" customWidth="1"/>
    <col min="3625" max="3625" width="9.28515625" style="215" bestFit="1" customWidth="1"/>
    <col min="3626" max="3846" width="9.140625" style="215"/>
    <col min="3847" max="3847" width="3.7109375" style="215" customWidth="1"/>
    <col min="3848" max="3848" width="34.42578125" style="215" customWidth="1"/>
    <col min="3849" max="3849" width="11.5703125" style="215" customWidth="1"/>
    <col min="3850" max="3850" width="11.7109375" style="215" customWidth="1"/>
    <col min="3851" max="3877" width="8.42578125" style="215" customWidth="1"/>
    <col min="3878" max="3878" width="11.42578125" style="215" customWidth="1"/>
    <col min="3879" max="3879" width="9.42578125" style="215" customWidth="1"/>
    <col min="3880" max="3880" width="11.5703125" style="215" bestFit="1" customWidth="1"/>
    <col min="3881" max="3881" width="9.28515625" style="215" bestFit="1" customWidth="1"/>
    <col min="3882" max="4102" width="9.140625" style="215"/>
    <col min="4103" max="4103" width="3.7109375" style="215" customWidth="1"/>
    <col min="4104" max="4104" width="34.42578125" style="215" customWidth="1"/>
    <col min="4105" max="4105" width="11.5703125" style="215" customWidth="1"/>
    <col min="4106" max="4106" width="11.7109375" style="215" customWidth="1"/>
    <col min="4107" max="4133" width="8.42578125" style="215" customWidth="1"/>
    <col min="4134" max="4134" width="11.42578125" style="215" customWidth="1"/>
    <col min="4135" max="4135" width="9.42578125" style="215" customWidth="1"/>
    <col min="4136" max="4136" width="11.5703125" style="215" bestFit="1" customWidth="1"/>
    <col min="4137" max="4137" width="9.28515625" style="215" bestFit="1" customWidth="1"/>
    <col min="4138" max="4358" width="9.140625" style="215"/>
    <col min="4359" max="4359" width="3.7109375" style="215" customWidth="1"/>
    <col min="4360" max="4360" width="34.42578125" style="215" customWidth="1"/>
    <col min="4361" max="4361" width="11.5703125" style="215" customWidth="1"/>
    <col min="4362" max="4362" width="11.7109375" style="215" customWidth="1"/>
    <col min="4363" max="4389" width="8.42578125" style="215" customWidth="1"/>
    <col min="4390" max="4390" width="11.42578125" style="215" customWidth="1"/>
    <col min="4391" max="4391" width="9.42578125" style="215" customWidth="1"/>
    <col min="4392" max="4392" width="11.5703125" style="215" bestFit="1" customWidth="1"/>
    <col min="4393" max="4393" width="9.28515625" style="215" bestFit="1" customWidth="1"/>
    <col min="4394" max="4614" width="9.140625" style="215"/>
    <col min="4615" max="4615" width="3.7109375" style="215" customWidth="1"/>
    <col min="4616" max="4616" width="34.42578125" style="215" customWidth="1"/>
    <col min="4617" max="4617" width="11.5703125" style="215" customWidth="1"/>
    <col min="4618" max="4618" width="11.7109375" style="215" customWidth="1"/>
    <col min="4619" max="4645" width="8.42578125" style="215" customWidth="1"/>
    <col min="4646" max="4646" width="11.42578125" style="215" customWidth="1"/>
    <col min="4647" max="4647" width="9.42578125" style="215" customWidth="1"/>
    <col min="4648" max="4648" width="11.5703125" style="215" bestFit="1" customWidth="1"/>
    <col min="4649" max="4649" width="9.28515625" style="215" bestFit="1" customWidth="1"/>
    <col min="4650" max="4870" width="9.140625" style="215"/>
    <col min="4871" max="4871" width="3.7109375" style="215" customWidth="1"/>
    <col min="4872" max="4872" width="34.42578125" style="215" customWidth="1"/>
    <col min="4873" max="4873" width="11.5703125" style="215" customWidth="1"/>
    <col min="4874" max="4874" width="11.7109375" style="215" customWidth="1"/>
    <col min="4875" max="4901" width="8.42578125" style="215" customWidth="1"/>
    <col min="4902" max="4902" width="11.42578125" style="215" customWidth="1"/>
    <col min="4903" max="4903" width="9.42578125" style="215" customWidth="1"/>
    <col min="4904" max="4904" width="11.5703125" style="215" bestFit="1" customWidth="1"/>
    <col min="4905" max="4905" width="9.28515625" style="215" bestFit="1" customWidth="1"/>
    <col min="4906" max="5126" width="9.140625" style="215"/>
    <col min="5127" max="5127" width="3.7109375" style="215" customWidth="1"/>
    <col min="5128" max="5128" width="34.42578125" style="215" customWidth="1"/>
    <col min="5129" max="5129" width="11.5703125" style="215" customWidth="1"/>
    <col min="5130" max="5130" width="11.7109375" style="215" customWidth="1"/>
    <col min="5131" max="5157" width="8.42578125" style="215" customWidth="1"/>
    <col min="5158" max="5158" width="11.42578125" style="215" customWidth="1"/>
    <col min="5159" max="5159" width="9.42578125" style="215" customWidth="1"/>
    <col min="5160" max="5160" width="11.5703125" style="215" bestFit="1" customWidth="1"/>
    <col min="5161" max="5161" width="9.28515625" style="215" bestFit="1" customWidth="1"/>
    <col min="5162" max="5382" width="9.140625" style="215"/>
    <col min="5383" max="5383" width="3.7109375" style="215" customWidth="1"/>
    <col min="5384" max="5384" width="34.42578125" style="215" customWidth="1"/>
    <col min="5385" max="5385" width="11.5703125" style="215" customWidth="1"/>
    <col min="5386" max="5386" width="11.7109375" style="215" customWidth="1"/>
    <col min="5387" max="5413" width="8.42578125" style="215" customWidth="1"/>
    <col min="5414" max="5414" width="11.42578125" style="215" customWidth="1"/>
    <col min="5415" max="5415" width="9.42578125" style="215" customWidth="1"/>
    <col min="5416" max="5416" width="11.5703125" style="215" bestFit="1" customWidth="1"/>
    <col min="5417" max="5417" width="9.28515625" style="215" bestFit="1" customWidth="1"/>
    <col min="5418" max="5638" width="9.140625" style="215"/>
    <col min="5639" max="5639" width="3.7109375" style="215" customWidth="1"/>
    <col min="5640" max="5640" width="34.42578125" style="215" customWidth="1"/>
    <col min="5641" max="5641" width="11.5703125" style="215" customWidth="1"/>
    <col min="5642" max="5642" width="11.7109375" style="215" customWidth="1"/>
    <col min="5643" max="5669" width="8.42578125" style="215" customWidth="1"/>
    <col min="5670" max="5670" width="11.42578125" style="215" customWidth="1"/>
    <col min="5671" max="5671" width="9.42578125" style="215" customWidth="1"/>
    <col min="5672" max="5672" width="11.5703125" style="215" bestFit="1" customWidth="1"/>
    <col min="5673" max="5673" width="9.28515625" style="215" bestFit="1" customWidth="1"/>
    <col min="5674" max="5894" width="9.140625" style="215"/>
    <col min="5895" max="5895" width="3.7109375" style="215" customWidth="1"/>
    <col min="5896" max="5896" width="34.42578125" style="215" customWidth="1"/>
    <col min="5897" max="5897" width="11.5703125" style="215" customWidth="1"/>
    <col min="5898" max="5898" width="11.7109375" style="215" customWidth="1"/>
    <col min="5899" max="5925" width="8.42578125" style="215" customWidth="1"/>
    <col min="5926" max="5926" width="11.42578125" style="215" customWidth="1"/>
    <col min="5927" max="5927" width="9.42578125" style="215" customWidth="1"/>
    <col min="5928" max="5928" width="11.5703125" style="215" bestFit="1" customWidth="1"/>
    <col min="5929" max="5929" width="9.28515625" style="215" bestFit="1" customWidth="1"/>
    <col min="5930" max="6150" width="9.140625" style="215"/>
    <col min="6151" max="6151" width="3.7109375" style="215" customWidth="1"/>
    <col min="6152" max="6152" width="34.42578125" style="215" customWidth="1"/>
    <col min="6153" max="6153" width="11.5703125" style="215" customWidth="1"/>
    <col min="6154" max="6154" width="11.7109375" style="215" customWidth="1"/>
    <col min="6155" max="6181" width="8.42578125" style="215" customWidth="1"/>
    <col min="6182" max="6182" width="11.42578125" style="215" customWidth="1"/>
    <col min="6183" max="6183" width="9.42578125" style="215" customWidth="1"/>
    <col min="6184" max="6184" width="11.5703125" style="215" bestFit="1" customWidth="1"/>
    <col min="6185" max="6185" width="9.28515625" style="215" bestFit="1" customWidth="1"/>
    <col min="6186" max="6406" width="9.140625" style="215"/>
    <col min="6407" max="6407" width="3.7109375" style="215" customWidth="1"/>
    <col min="6408" max="6408" width="34.42578125" style="215" customWidth="1"/>
    <col min="6409" max="6409" width="11.5703125" style="215" customWidth="1"/>
    <col min="6410" max="6410" width="11.7109375" style="215" customWidth="1"/>
    <col min="6411" max="6437" width="8.42578125" style="215" customWidth="1"/>
    <col min="6438" max="6438" width="11.42578125" style="215" customWidth="1"/>
    <col min="6439" max="6439" width="9.42578125" style="215" customWidth="1"/>
    <col min="6440" max="6440" width="11.5703125" style="215" bestFit="1" customWidth="1"/>
    <col min="6441" max="6441" width="9.28515625" style="215" bestFit="1" customWidth="1"/>
    <col min="6442" max="6662" width="9.140625" style="215"/>
    <col min="6663" max="6663" width="3.7109375" style="215" customWidth="1"/>
    <col min="6664" max="6664" width="34.42578125" style="215" customWidth="1"/>
    <col min="6665" max="6665" width="11.5703125" style="215" customWidth="1"/>
    <col min="6666" max="6666" width="11.7109375" style="215" customWidth="1"/>
    <col min="6667" max="6693" width="8.42578125" style="215" customWidth="1"/>
    <col min="6694" max="6694" width="11.42578125" style="215" customWidth="1"/>
    <col min="6695" max="6695" width="9.42578125" style="215" customWidth="1"/>
    <col min="6696" max="6696" width="11.5703125" style="215" bestFit="1" customWidth="1"/>
    <col min="6697" max="6697" width="9.28515625" style="215" bestFit="1" customWidth="1"/>
    <col min="6698" max="6918" width="9.140625" style="215"/>
    <col min="6919" max="6919" width="3.7109375" style="215" customWidth="1"/>
    <col min="6920" max="6920" width="34.42578125" style="215" customWidth="1"/>
    <col min="6921" max="6921" width="11.5703125" style="215" customWidth="1"/>
    <col min="6922" max="6922" width="11.7109375" style="215" customWidth="1"/>
    <col min="6923" max="6949" width="8.42578125" style="215" customWidth="1"/>
    <col min="6950" max="6950" width="11.42578125" style="215" customWidth="1"/>
    <col min="6951" max="6951" width="9.42578125" style="215" customWidth="1"/>
    <col min="6952" max="6952" width="11.5703125" style="215" bestFit="1" customWidth="1"/>
    <col min="6953" max="6953" width="9.28515625" style="215" bestFit="1" customWidth="1"/>
    <col min="6954" max="7174" width="9.140625" style="215"/>
    <col min="7175" max="7175" width="3.7109375" style="215" customWidth="1"/>
    <col min="7176" max="7176" width="34.42578125" style="215" customWidth="1"/>
    <col min="7177" max="7177" width="11.5703125" style="215" customWidth="1"/>
    <col min="7178" max="7178" width="11.7109375" style="215" customWidth="1"/>
    <col min="7179" max="7205" width="8.42578125" style="215" customWidth="1"/>
    <col min="7206" max="7206" width="11.42578125" style="215" customWidth="1"/>
    <col min="7207" max="7207" width="9.42578125" style="215" customWidth="1"/>
    <col min="7208" max="7208" width="11.5703125" style="215" bestFit="1" customWidth="1"/>
    <col min="7209" max="7209" width="9.28515625" style="215" bestFit="1" customWidth="1"/>
    <col min="7210" max="7430" width="9.140625" style="215"/>
    <col min="7431" max="7431" width="3.7109375" style="215" customWidth="1"/>
    <col min="7432" max="7432" width="34.42578125" style="215" customWidth="1"/>
    <col min="7433" max="7433" width="11.5703125" style="215" customWidth="1"/>
    <col min="7434" max="7434" width="11.7109375" style="215" customWidth="1"/>
    <col min="7435" max="7461" width="8.42578125" style="215" customWidth="1"/>
    <col min="7462" max="7462" width="11.42578125" style="215" customWidth="1"/>
    <col min="7463" max="7463" width="9.42578125" style="215" customWidth="1"/>
    <col min="7464" max="7464" width="11.5703125" style="215" bestFit="1" customWidth="1"/>
    <col min="7465" max="7465" width="9.28515625" style="215" bestFit="1" customWidth="1"/>
    <col min="7466" max="7686" width="9.140625" style="215"/>
    <col min="7687" max="7687" width="3.7109375" style="215" customWidth="1"/>
    <col min="7688" max="7688" width="34.42578125" style="215" customWidth="1"/>
    <col min="7689" max="7689" width="11.5703125" style="215" customWidth="1"/>
    <col min="7690" max="7690" width="11.7109375" style="215" customWidth="1"/>
    <col min="7691" max="7717" width="8.42578125" style="215" customWidth="1"/>
    <col min="7718" max="7718" width="11.42578125" style="215" customWidth="1"/>
    <col min="7719" max="7719" width="9.42578125" style="215" customWidth="1"/>
    <col min="7720" max="7720" width="11.5703125" style="215" bestFit="1" customWidth="1"/>
    <col min="7721" max="7721" width="9.28515625" style="215" bestFit="1" customWidth="1"/>
    <col min="7722" max="7942" width="9.140625" style="215"/>
    <col min="7943" max="7943" width="3.7109375" style="215" customWidth="1"/>
    <col min="7944" max="7944" width="34.42578125" style="215" customWidth="1"/>
    <col min="7945" max="7945" width="11.5703125" style="215" customWidth="1"/>
    <col min="7946" max="7946" width="11.7109375" style="215" customWidth="1"/>
    <col min="7947" max="7973" width="8.42578125" style="215" customWidth="1"/>
    <col min="7974" max="7974" width="11.42578125" style="215" customWidth="1"/>
    <col min="7975" max="7975" width="9.42578125" style="215" customWidth="1"/>
    <col min="7976" max="7976" width="11.5703125" style="215" bestFit="1" customWidth="1"/>
    <col min="7977" max="7977" width="9.28515625" style="215" bestFit="1" customWidth="1"/>
    <col min="7978" max="8198" width="9.140625" style="215"/>
    <col min="8199" max="8199" width="3.7109375" style="215" customWidth="1"/>
    <col min="8200" max="8200" width="34.42578125" style="215" customWidth="1"/>
    <col min="8201" max="8201" width="11.5703125" style="215" customWidth="1"/>
    <col min="8202" max="8202" width="11.7109375" style="215" customWidth="1"/>
    <col min="8203" max="8229" width="8.42578125" style="215" customWidth="1"/>
    <col min="8230" max="8230" width="11.42578125" style="215" customWidth="1"/>
    <col min="8231" max="8231" width="9.42578125" style="215" customWidth="1"/>
    <col min="8232" max="8232" width="11.5703125" style="215" bestFit="1" customWidth="1"/>
    <col min="8233" max="8233" width="9.28515625" style="215" bestFit="1" customWidth="1"/>
    <col min="8234" max="8454" width="9.140625" style="215"/>
    <col min="8455" max="8455" width="3.7109375" style="215" customWidth="1"/>
    <col min="8456" max="8456" width="34.42578125" style="215" customWidth="1"/>
    <col min="8457" max="8457" width="11.5703125" style="215" customWidth="1"/>
    <col min="8458" max="8458" width="11.7109375" style="215" customWidth="1"/>
    <col min="8459" max="8485" width="8.42578125" style="215" customWidth="1"/>
    <col min="8486" max="8486" width="11.42578125" style="215" customWidth="1"/>
    <col min="8487" max="8487" width="9.42578125" style="215" customWidth="1"/>
    <col min="8488" max="8488" width="11.5703125" style="215" bestFit="1" customWidth="1"/>
    <col min="8489" max="8489" width="9.28515625" style="215" bestFit="1" customWidth="1"/>
    <col min="8490" max="8710" width="9.140625" style="215"/>
    <col min="8711" max="8711" width="3.7109375" style="215" customWidth="1"/>
    <col min="8712" max="8712" width="34.42578125" style="215" customWidth="1"/>
    <col min="8713" max="8713" width="11.5703125" style="215" customWidth="1"/>
    <col min="8714" max="8714" width="11.7109375" style="215" customWidth="1"/>
    <col min="8715" max="8741" width="8.42578125" style="215" customWidth="1"/>
    <col min="8742" max="8742" width="11.42578125" style="215" customWidth="1"/>
    <col min="8743" max="8743" width="9.42578125" style="215" customWidth="1"/>
    <col min="8744" max="8744" width="11.5703125" style="215" bestFit="1" customWidth="1"/>
    <col min="8745" max="8745" width="9.28515625" style="215" bestFit="1" customWidth="1"/>
    <col min="8746" max="8966" width="9.140625" style="215"/>
    <col min="8967" max="8967" width="3.7109375" style="215" customWidth="1"/>
    <col min="8968" max="8968" width="34.42578125" style="215" customWidth="1"/>
    <col min="8969" max="8969" width="11.5703125" style="215" customWidth="1"/>
    <col min="8970" max="8970" width="11.7109375" style="215" customWidth="1"/>
    <col min="8971" max="8997" width="8.42578125" style="215" customWidth="1"/>
    <col min="8998" max="8998" width="11.42578125" style="215" customWidth="1"/>
    <col min="8999" max="8999" width="9.42578125" style="215" customWidth="1"/>
    <col min="9000" max="9000" width="11.5703125" style="215" bestFit="1" customWidth="1"/>
    <col min="9001" max="9001" width="9.28515625" style="215" bestFit="1" customWidth="1"/>
    <col min="9002" max="9222" width="9.140625" style="215"/>
    <col min="9223" max="9223" width="3.7109375" style="215" customWidth="1"/>
    <col min="9224" max="9224" width="34.42578125" style="215" customWidth="1"/>
    <col min="9225" max="9225" width="11.5703125" style="215" customWidth="1"/>
    <col min="9226" max="9226" width="11.7109375" style="215" customWidth="1"/>
    <col min="9227" max="9253" width="8.42578125" style="215" customWidth="1"/>
    <col min="9254" max="9254" width="11.42578125" style="215" customWidth="1"/>
    <col min="9255" max="9255" width="9.42578125" style="215" customWidth="1"/>
    <col min="9256" max="9256" width="11.5703125" style="215" bestFit="1" customWidth="1"/>
    <col min="9257" max="9257" width="9.28515625" style="215" bestFit="1" customWidth="1"/>
    <col min="9258" max="9478" width="9.140625" style="215"/>
    <col min="9479" max="9479" width="3.7109375" style="215" customWidth="1"/>
    <col min="9480" max="9480" width="34.42578125" style="215" customWidth="1"/>
    <col min="9481" max="9481" width="11.5703125" style="215" customWidth="1"/>
    <col min="9482" max="9482" width="11.7109375" style="215" customWidth="1"/>
    <col min="9483" max="9509" width="8.42578125" style="215" customWidth="1"/>
    <col min="9510" max="9510" width="11.42578125" style="215" customWidth="1"/>
    <col min="9511" max="9511" width="9.42578125" style="215" customWidth="1"/>
    <col min="9512" max="9512" width="11.5703125" style="215" bestFit="1" customWidth="1"/>
    <col min="9513" max="9513" width="9.28515625" style="215" bestFit="1" customWidth="1"/>
    <col min="9514" max="9734" width="9.140625" style="215"/>
    <col min="9735" max="9735" width="3.7109375" style="215" customWidth="1"/>
    <col min="9736" max="9736" width="34.42578125" style="215" customWidth="1"/>
    <col min="9737" max="9737" width="11.5703125" style="215" customWidth="1"/>
    <col min="9738" max="9738" width="11.7109375" style="215" customWidth="1"/>
    <col min="9739" max="9765" width="8.42578125" style="215" customWidth="1"/>
    <col min="9766" max="9766" width="11.42578125" style="215" customWidth="1"/>
    <col min="9767" max="9767" width="9.42578125" style="215" customWidth="1"/>
    <col min="9768" max="9768" width="11.5703125" style="215" bestFit="1" customWidth="1"/>
    <col min="9769" max="9769" width="9.28515625" style="215" bestFit="1" customWidth="1"/>
    <col min="9770" max="9990" width="9.140625" style="215"/>
    <col min="9991" max="9991" width="3.7109375" style="215" customWidth="1"/>
    <col min="9992" max="9992" width="34.42578125" style="215" customWidth="1"/>
    <col min="9993" max="9993" width="11.5703125" style="215" customWidth="1"/>
    <col min="9994" max="9994" width="11.7109375" style="215" customWidth="1"/>
    <col min="9995" max="10021" width="8.42578125" style="215" customWidth="1"/>
    <col min="10022" max="10022" width="11.42578125" style="215" customWidth="1"/>
    <col min="10023" max="10023" width="9.42578125" style="215" customWidth="1"/>
    <col min="10024" max="10024" width="11.5703125" style="215" bestFit="1" customWidth="1"/>
    <col min="10025" max="10025" width="9.28515625" style="215" bestFit="1" customWidth="1"/>
    <col min="10026" max="10246" width="9.140625" style="215"/>
    <col min="10247" max="10247" width="3.7109375" style="215" customWidth="1"/>
    <col min="10248" max="10248" width="34.42578125" style="215" customWidth="1"/>
    <col min="10249" max="10249" width="11.5703125" style="215" customWidth="1"/>
    <col min="10250" max="10250" width="11.7109375" style="215" customWidth="1"/>
    <col min="10251" max="10277" width="8.42578125" style="215" customWidth="1"/>
    <col min="10278" max="10278" width="11.42578125" style="215" customWidth="1"/>
    <col min="10279" max="10279" width="9.42578125" style="215" customWidth="1"/>
    <col min="10280" max="10280" width="11.5703125" style="215" bestFit="1" customWidth="1"/>
    <col min="10281" max="10281" width="9.28515625" style="215" bestFit="1" customWidth="1"/>
    <col min="10282" max="10502" width="9.140625" style="215"/>
    <col min="10503" max="10503" width="3.7109375" style="215" customWidth="1"/>
    <col min="10504" max="10504" width="34.42578125" style="215" customWidth="1"/>
    <col min="10505" max="10505" width="11.5703125" style="215" customWidth="1"/>
    <col min="10506" max="10506" width="11.7109375" style="215" customWidth="1"/>
    <col min="10507" max="10533" width="8.42578125" style="215" customWidth="1"/>
    <col min="10534" max="10534" width="11.42578125" style="215" customWidth="1"/>
    <col min="10535" max="10535" width="9.42578125" style="215" customWidth="1"/>
    <col min="10536" max="10536" width="11.5703125" style="215" bestFit="1" customWidth="1"/>
    <col min="10537" max="10537" width="9.28515625" style="215" bestFit="1" customWidth="1"/>
    <col min="10538" max="10758" width="9.140625" style="215"/>
    <col min="10759" max="10759" width="3.7109375" style="215" customWidth="1"/>
    <col min="10760" max="10760" width="34.42578125" style="215" customWidth="1"/>
    <col min="10761" max="10761" width="11.5703125" style="215" customWidth="1"/>
    <col min="10762" max="10762" width="11.7109375" style="215" customWidth="1"/>
    <col min="10763" max="10789" width="8.42578125" style="215" customWidth="1"/>
    <col min="10790" max="10790" width="11.42578125" style="215" customWidth="1"/>
    <col min="10791" max="10791" width="9.42578125" style="215" customWidth="1"/>
    <col min="10792" max="10792" width="11.5703125" style="215" bestFit="1" customWidth="1"/>
    <col min="10793" max="10793" width="9.28515625" style="215" bestFit="1" customWidth="1"/>
    <col min="10794" max="11014" width="9.140625" style="215"/>
    <col min="11015" max="11015" width="3.7109375" style="215" customWidth="1"/>
    <col min="11016" max="11016" width="34.42578125" style="215" customWidth="1"/>
    <col min="11017" max="11017" width="11.5703125" style="215" customWidth="1"/>
    <col min="11018" max="11018" width="11.7109375" style="215" customWidth="1"/>
    <col min="11019" max="11045" width="8.42578125" style="215" customWidth="1"/>
    <col min="11046" max="11046" width="11.42578125" style="215" customWidth="1"/>
    <col min="11047" max="11047" width="9.42578125" style="215" customWidth="1"/>
    <col min="11048" max="11048" width="11.5703125" style="215" bestFit="1" customWidth="1"/>
    <col min="11049" max="11049" width="9.28515625" style="215" bestFit="1" customWidth="1"/>
    <col min="11050" max="11270" width="9.140625" style="215"/>
    <col min="11271" max="11271" width="3.7109375" style="215" customWidth="1"/>
    <col min="11272" max="11272" width="34.42578125" style="215" customWidth="1"/>
    <col min="11273" max="11273" width="11.5703125" style="215" customWidth="1"/>
    <col min="11274" max="11274" width="11.7109375" style="215" customWidth="1"/>
    <col min="11275" max="11301" width="8.42578125" style="215" customWidth="1"/>
    <col min="11302" max="11302" width="11.42578125" style="215" customWidth="1"/>
    <col min="11303" max="11303" width="9.42578125" style="215" customWidth="1"/>
    <col min="11304" max="11304" width="11.5703125" style="215" bestFit="1" customWidth="1"/>
    <col min="11305" max="11305" width="9.28515625" style="215" bestFit="1" customWidth="1"/>
    <col min="11306" max="11526" width="9.140625" style="215"/>
    <col min="11527" max="11527" width="3.7109375" style="215" customWidth="1"/>
    <col min="11528" max="11528" width="34.42578125" style="215" customWidth="1"/>
    <col min="11529" max="11529" width="11.5703125" style="215" customWidth="1"/>
    <col min="11530" max="11530" width="11.7109375" style="215" customWidth="1"/>
    <col min="11531" max="11557" width="8.42578125" style="215" customWidth="1"/>
    <col min="11558" max="11558" width="11.42578125" style="215" customWidth="1"/>
    <col min="11559" max="11559" width="9.42578125" style="215" customWidth="1"/>
    <col min="11560" max="11560" width="11.5703125" style="215" bestFit="1" customWidth="1"/>
    <col min="11561" max="11561" width="9.28515625" style="215" bestFit="1" customWidth="1"/>
    <col min="11562" max="11782" width="9.140625" style="215"/>
    <col min="11783" max="11783" width="3.7109375" style="215" customWidth="1"/>
    <col min="11784" max="11784" width="34.42578125" style="215" customWidth="1"/>
    <col min="11785" max="11785" width="11.5703125" style="215" customWidth="1"/>
    <col min="11786" max="11786" width="11.7109375" style="215" customWidth="1"/>
    <col min="11787" max="11813" width="8.42578125" style="215" customWidth="1"/>
    <col min="11814" max="11814" width="11.42578125" style="215" customWidth="1"/>
    <col min="11815" max="11815" width="9.42578125" style="215" customWidth="1"/>
    <col min="11816" max="11816" width="11.5703125" style="215" bestFit="1" customWidth="1"/>
    <col min="11817" max="11817" width="9.28515625" style="215" bestFit="1" customWidth="1"/>
    <col min="11818" max="12038" width="9.140625" style="215"/>
    <col min="12039" max="12039" width="3.7109375" style="215" customWidth="1"/>
    <col min="12040" max="12040" width="34.42578125" style="215" customWidth="1"/>
    <col min="12041" max="12041" width="11.5703125" style="215" customWidth="1"/>
    <col min="12042" max="12042" width="11.7109375" style="215" customWidth="1"/>
    <col min="12043" max="12069" width="8.42578125" style="215" customWidth="1"/>
    <col min="12070" max="12070" width="11.42578125" style="215" customWidth="1"/>
    <col min="12071" max="12071" width="9.42578125" style="215" customWidth="1"/>
    <col min="12072" max="12072" width="11.5703125" style="215" bestFit="1" customWidth="1"/>
    <col min="12073" max="12073" width="9.28515625" style="215" bestFit="1" customWidth="1"/>
    <col min="12074" max="12294" width="9.140625" style="215"/>
    <col min="12295" max="12295" width="3.7109375" style="215" customWidth="1"/>
    <col min="12296" max="12296" width="34.42578125" style="215" customWidth="1"/>
    <col min="12297" max="12297" width="11.5703125" style="215" customWidth="1"/>
    <col min="12298" max="12298" width="11.7109375" style="215" customWidth="1"/>
    <col min="12299" max="12325" width="8.42578125" style="215" customWidth="1"/>
    <col min="12326" max="12326" width="11.42578125" style="215" customWidth="1"/>
    <col min="12327" max="12327" width="9.42578125" style="215" customWidth="1"/>
    <col min="12328" max="12328" width="11.5703125" style="215" bestFit="1" customWidth="1"/>
    <col min="12329" max="12329" width="9.28515625" style="215" bestFit="1" customWidth="1"/>
    <col min="12330" max="12550" width="9.140625" style="215"/>
    <col min="12551" max="12551" width="3.7109375" style="215" customWidth="1"/>
    <col min="12552" max="12552" width="34.42578125" style="215" customWidth="1"/>
    <col min="12553" max="12553" width="11.5703125" style="215" customWidth="1"/>
    <col min="12554" max="12554" width="11.7109375" style="215" customWidth="1"/>
    <col min="12555" max="12581" width="8.42578125" style="215" customWidth="1"/>
    <col min="12582" max="12582" width="11.42578125" style="215" customWidth="1"/>
    <col min="12583" max="12583" width="9.42578125" style="215" customWidth="1"/>
    <col min="12584" max="12584" width="11.5703125" style="215" bestFit="1" customWidth="1"/>
    <col min="12585" max="12585" width="9.28515625" style="215" bestFit="1" customWidth="1"/>
    <col min="12586" max="12806" width="9.140625" style="215"/>
    <col min="12807" max="12807" width="3.7109375" style="215" customWidth="1"/>
    <col min="12808" max="12808" width="34.42578125" style="215" customWidth="1"/>
    <col min="12809" max="12809" width="11.5703125" style="215" customWidth="1"/>
    <col min="12810" max="12810" width="11.7109375" style="215" customWidth="1"/>
    <col min="12811" max="12837" width="8.42578125" style="215" customWidth="1"/>
    <col min="12838" max="12838" width="11.42578125" style="215" customWidth="1"/>
    <col min="12839" max="12839" width="9.42578125" style="215" customWidth="1"/>
    <col min="12840" max="12840" width="11.5703125" style="215" bestFit="1" customWidth="1"/>
    <col min="12841" max="12841" width="9.28515625" style="215" bestFit="1" customWidth="1"/>
    <col min="12842" max="13062" width="9.140625" style="215"/>
    <col min="13063" max="13063" width="3.7109375" style="215" customWidth="1"/>
    <col min="13064" max="13064" width="34.42578125" style="215" customWidth="1"/>
    <col min="13065" max="13065" width="11.5703125" style="215" customWidth="1"/>
    <col min="13066" max="13066" width="11.7109375" style="215" customWidth="1"/>
    <col min="13067" max="13093" width="8.42578125" style="215" customWidth="1"/>
    <col min="13094" max="13094" width="11.42578125" style="215" customWidth="1"/>
    <col min="13095" max="13095" width="9.42578125" style="215" customWidth="1"/>
    <col min="13096" max="13096" width="11.5703125" style="215" bestFit="1" customWidth="1"/>
    <col min="13097" max="13097" width="9.28515625" style="215" bestFit="1" customWidth="1"/>
    <col min="13098" max="13318" width="9.140625" style="215"/>
    <col min="13319" max="13319" width="3.7109375" style="215" customWidth="1"/>
    <col min="13320" max="13320" width="34.42578125" style="215" customWidth="1"/>
    <col min="13321" max="13321" width="11.5703125" style="215" customWidth="1"/>
    <col min="13322" max="13322" width="11.7109375" style="215" customWidth="1"/>
    <col min="13323" max="13349" width="8.42578125" style="215" customWidth="1"/>
    <col min="13350" max="13350" width="11.42578125" style="215" customWidth="1"/>
    <col min="13351" max="13351" width="9.42578125" style="215" customWidth="1"/>
    <col min="13352" max="13352" width="11.5703125" style="215" bestFit="1" customWidth="1"/>
    <col min="13353" max="13353" width="9.28515625" style="215" bestFit="1" customWidth="1"/>
    <col min="13354" max="13574" width="9.140625" style="215"/>
    <col min="13575" max="13575" width="3.7109375" style="215" customWidth="1"/>
    <col min="13576" max="13576" width="34.42578125" style="215" customWidth="1"/>
    <col min="13577" max="13577" width="11.5703125" style="215" customWidth="1"/>
    <col min="13578" max="13578" width="11.7109375" style="215" customWidth="1"/>
    <col min="13579" max="13605" width="8.42578125" style="215" customWidth="1"/>
    <col min="13606" max="13606" width="11.42578125" style="215" customWidth="1"/>
    <col min="13607" max="13607" width="9.42578125" style="215" customWidth="1"/>
    <col min="13608" max="13608" width="11.5703125" style="215" bestFit="1" customWidth="1"/>
    <col min="13609" max="13609" width="9.28515625" style="215" bestFit="1" customWidth="1"/>
    <col min="13610" max="13830" width="9.140625" style="215"/>
    <col min="13831" max="13831" width="3.7109375" style="215" customWidth="1"/>
    <col min="13832" max="13832" width="34.42578125" style="215" customWidth="1"/>
    <col min="13833" max="13833" width="11.5703125" style="215" customWidth="1"/>
    <col min="13834" max="13834" width="11.7109375" style="215" customWidth="1"/>
    <col min="13835" max="13861" width="8.42578125" style="215" customWidth="1"/>
    <col min="13862" max="13862" width="11.42578125" style="215" customWidth="1"/>
    <col min="13863" max="13863" width="9.42578125" style="215" customWidth="1"/>
    <col min="13864" max="13864" width="11.5703125" style="215" bestFit="1" customWidth="1"/>
    <col min="13865" max="13865" width="9.28515625" style="215" bestFit="1" customWidth="1"/>
    <col min="13866" max="14086" width="9.140625" style="215"/>
    <col min="14087" max="14087" width="3.7109375" style="215" customWidth="1"/>
    <col min="14088" max="14088" width="34.42578125" style="215" customWidth="1"/>
    <col min="14089" max="14089" width="11.5703125" style="215" customWidth="1"/>
    <col min="14090" max="14090" width="11.7109375" style="215" customWidth="1"/>
    <col min="14091" max="14117" width="8.42578125" style="215" customWidth="1"/>
    <col min="14118" max="14118" width="11.42578125" style="215" customWidth="1"/>
    <col min="14119" max="14119" width="9.42578125" style="215" customWidth="1"/>
    <col min="14120" max="14120" width="11.5703125" style="215" bestFit="1" customWidth="1"/>
    <col min="14121" max="14121" width="9.28515625" style="215" bestFit="1" customWidth="1"/>
    <col min="14122" max="14342" width="9.140625" style="215"/>
    <col min="14343" max="14343" width="3.7109375" style="215" customWidth="1"/>
    <col min="14344" max="14344" width="34.42578125" style="215" customWidth="1"/>
    <col min="14345" max="14345" width="11.5703125" style="215" customWidth="1"/>
    <col min="14346" max="14346" width="11.7109375" style="215" customWidth="1"/>
    <col min="14347" max="14373" width="8.42578125" style="215" customWidth="1"/>
    <col min="14374" max="14374" width="11.42578125" style="215" customWidth="1"/>
    <col min="14375" max="14375" width="9.42578125" style="215" customWidth="1"/>
    <col min="14376" max="14376" width="11.5703125" style="215" bestFit="1" customWidth="1"/>
    <col min="14377" max="14377" width="9.28515625" style="215" bestFit="1" customWidth="1"/>
    <col min="14378" max="14598" width="9.140625" style="215"/>
    <col min="14599" max="14599" width="3.7109375" style="215" customWidth="1"/>
    <col min="14600" max="14600" width="34.42578125" style="215" customWidth="1"/>
    <col min="14601" max="14601" width="11.5703125" style="215" customWidth="1"/>
    <col min="14602" max="14602" width="11.7109375" style="215" customWidth="1"/>
    <col min="14603" max="14629" width="8.42578125" style="215" customWidth="1"/>
    <col min="14630" max="14630" width="11.42578125" style="215" customWidth="1"/>
    <col min="14631" max="14631" width="9.42578125" style="215" customWidth="1"/>
    <col min="14632" max="14632" width="11.5703125" style="215" bestFit="1" customWidth="1"/>
    <col min="14633" max="14633" width="9.28515625" style="215" bestFit="1" customWidth="1"/>
    <col min="14634" max="14854" width="9.140625" style="215"/>
    <col min="14855" max="14855" width="3.7109375" style="215" customWidth="1"/>
    <col min="14856" max="14856" width="34.42578125" style="215" customWidth="1"/>
    <col min="14857" max="14857" width="11.5703125" style="215" customWidth="1"/>
    <col min="14858" max="14858" width="11.7109375" style="215" customWidth="1"/>
    <col min="14859" max="14885" width="8.42578125" style="215" customWidth="1"/>
    <col min="14886" max="14886" width="11.42578125" style="215" customWidth="1"/>
    <col min="14887" max="14887" width="9.42578125" style="215" customWidth="1"/>
    <col min="14888" max="14888" width="11.5703125" style="215" bestFit="1" customWidth="1"/>
    <col min="14889" max="14889" width="9.28515625" style="215" bestFit="1" customWidth="1"/>
    <col min="14890" max="15110" width="9.140625" style="215"/>
    <col min="15111" max="15111" width="3.7109375" style="215" customWidth="1"/>
    <col min="15112" max="15112" width="34.42578125" style="215" customWidth="1"/>
    <col min="15113" max="15113" width="11.5703125" style="215" customWidth="1"/>
    <col min="15114" max="15114" width="11.7109375" style="215" customWidth="1"/>
    <col min="15115" max="15141" width="8.42578125" style="215" customWidth="1"/>
    <col min="15142" max="15142" width="11.42578125" style="215" customWidth="1"/>
    <col min="15143" max="15143" width="9.42578125" style="215" customWidth="1"/>
    <col min="15144" max="15144" width="11.5703125" style="215" bestFit="1" customWidth="1"/>
    <col min="15145" max="15145" width="9.28515625" style="215" bestFit="1" customWidth="1"/>
    <col min="15146" max="15366" width="9.140625" style="215"/>
    <col min="15367" max="15367" width="3.7109375" style="215" customWidth="1"/>
    <col min="15368" max="15368" width="34.42578125" style="215" customWidth="1"/>
    <col min="15369" max="15369" width="11.5703125" style="215" customWidth="1"/>
    <col min="15370" max="15370" width="11.7109375" style="215" customWidth="1"/>
    <col min="15371" max="15397" width="8.42578125" style="215" customWidth="1"/>
    <col min="15398" max="15398" width="11.42578125" style="215" customWidth="1"/>
    <col min="15399" max="15399" width="9.42578125" style="215" customWidth="1"/>
    <col min="15400" max="15400" width="11.5703125" style="215" bestFit="1" customWidth="1"/>
    <col min="15401" max="15401" width="9.28515625" style="215" bestFit="1" customWidth="1"/>
    <col min="15402" max="15622" width="9.140625" style="215"/>
    <col min="15623" max="15623" width="3.7109375" style="215" customWidth="1"/>
    <col min="15624" max="15624" width="34.42578125" style="215" customWidth="1"/>
    <col min="15625" max="15625" width="11.5703125" style="215" customWidth="1"/>
    <col min="15626" max="15626" width="11.7109375" style="215" customWidth="1"/>
    <col min="15627" max="15653" width="8.42578125" style="215" customWidth="1"/>
    <col min="15654" max="15654" width="11.42578125" style="215" customWidth="1"/>
    <col min="15655" max="15655" width="9.42578125" style="215" customWidth="1"/>
    <col min="15656" max="15656" width="11.5703125" style="215" bestFit="1" customWidth="1"/>
    <col min="15657" max="15657" width="9.28515625" style="215" bestFit="1" customWidth="1"/>
    <col min="15658" max="15878" width="9.140625" style="215"/>
    <col min="15879" max="15879" width="3.7109375" style="215" customWidth="1"/>
    <col min="15880" max="15880" width="34.42578125" style="215" customWidth="1"/>
    <col min="15881" max="15881" width="11.5703125" style="215" customWidth="1"/>
    <col min="15882" max="15882" width="11.7109375" style="215" customWidth="1"/>
    <col min="15883" max="15909" width="8.42578125" style="215" customWidth="1"/>
    <col min="15910" max="15910" width="11.42578125" style="215" customWidth="1"/>
    <col min="15911" max="15911" width="9.42578125" style="215" customWidth="1"/>
    <col min="15912" max="15912" width="11.5703125" style="215" bestFit="1" customWidth="1"/>
    <col min="15913" max="15913" width="9.28515625" style="215" bestFit="1" customWidth="1"/>
    <col min="15914" max="16134" width="9.140625" style="215"/>
    <col min="16135" max="16135" width="3.7109375" style="215" customWidth="1"/>
    <col min="16136" max="16136" width="34.42578125" style="215" customWidth="1"/>
    <col min="16137" max="16137" width="11.5703125" style="215" customWidth="1"/>
    <col min="16138" max="16138" width="11.7109375" style="215" customWidth="1"/>
    <col min="16139" max="16165" width="8.42578125" style="215" customWidth="1"/>
    <col min="16166" max="16166" width="11.42578125" style="215" customWidth="1"/>
    <col min="16167" max="16167" width="9.42578125" style="215" customWidth="1"/>
    <col min="16168" max="16168" width="11.5703125" style="215" bestFit="1" customWidth="1"/>
    <col min="16169" max="16169" width="9.28515625" style="215" bestFit="1" customWidth="1"/>
    <col min="16170" max="16384" width="9.140625" style="215"/>
  </cols>
  <sheetData>
    <row r="1" spans="1:46" hidden="1" outlineLevel="1" x14ac:dyDescent="0.2">
      <c r="D1" s="163" t="s">
        <v>73</v>
      </c>
      <c r="E1" s="164">
        <f>E56+'табель сирот'!D43</f>
        <v>1</v>
      </c>
      <c r="F1" s="164">
        <f>F55+'табель сирот'!E43</f>
        <v>1</v>
      </c>
      <c r="G1" s="164">
        <f>G55+'табель сирот'!F43</f>
        <v>1</v>
      </c>
      <c r="H1" s="164">
        <f>H55+'табель сирот'!G43</f>
        <v>1</v>
      </c>
      <c r="I1" s="164">
        <f>I55+'табель сирот'!H43</f>
        <v>0</v>
      </c>
      <c r="J1" s="164">
        <f>J55+'табель сирот'!I43</f>
        <v>1</v>
      </c>
      <c r="K1" s="164"/>
      <c r="L1" s="164">
        <f>L55+'табель сирот'!K43</f>
        <v>0</v>
      </c>
      <c r="M1" s="164"/>
      <c r="N1" s="164">
        <f>N55+'табель сирот'!M43</f>
        <v>1</v>
      </c>
      <c r="O1" s="164">
        <f>O55+'табель сирот'!N43</f>
        <v>0</v>
      </c>
      <c r="P1" s="164">
        <f>P55+'табель сирот'!O43</f>
        <v>0</v>
      </c>
      <c r="Q1" s="164">
        <f>Q55+'табель сирот'!P43</f>
        <v>1</v>
      </c>
      <c r="R1" s="164"/>
      <c r="S1" s="164">
        <f>S55+'табель сирот'!R43</f>
        <v>2</v>
      </c>
      <c r="T1" s="164">
        <f>T55+'табель сирот'!S43</f>
        <v>2</v>
      </c>
      <c r="U1" s="164">
        <f>U55+'табель сирот'!T43</f>
        <v>1</v>
      </c>
      <c r="V1" s="164">
        <f>V55+'табель сирот'!U43</f>
        <v>0</v>
      </c>
      <c r="W1" s="164">
        <f>W55+'табель сирот'!V43</f>
        <v>0</v>
      </c>
      <c r="X1" s="164">
        <f>X55+'табель сирот'!W43</f>
        <v>1</v>
      </c>
      <c r="Y1" s="164">
        <f>Y55+'табель сирот'!Y43</f>
        <v>1</v>
      </c>
      <c r="Z1" s="164">
        <f>Z55+'табель сирот'!Z43</f>
        <v>1</v>
      </c>
      <c r="AA1" s="164">
        <f>AA55+'табель сирот'!AA43</f>
        <v>1</v>
      </c>
      <c r="AB1" s="164">
        <f>AB55+'табель сирот'!AB43</f>
        <v>0</v>
      </c>
      <c r="AC1" s="164">
        <f>AC55+'табель сирот'!AC43</f>
        <v>0</v>
      </c>
      <c r="AD1" s="164">
        <f>AD55+'табель сирот'!AD43</f>
        <v>0</v>
      </c>
      <c r="AE1" s="164">
        <f>AE55+'табель сирот'!AF43</f>
        <v>1</v>
      </c>
      <c r="AF1" s="164">
        <f>AF55+'табель сирот'!AH43</f>
        <v>2</v>
      </c>
      <c r="AG1" s="164">
        <f>AG55+'табель сирот'!AI43</f>
        <v>1</v>
      </c>
      <c r="AH1" s="164">
        <f>AH55+'табель сирот'!AJ43</f>
        <v>0</v>
      </c>
      <c r="AI1" s="164"/>
      <c r="AJ1" s="164"/>
      <c r="AK1" s="164"/>
      <c r="AL1" s="164"/>
      <c r="AM1" s="164"/>
      <c r="AN1" s="164"/>
    </row>
    <row r="2" spans="1:46" hidden="1" outlineLevel="1" x14ac:dyDescent="0.2">
      <c r="D2" s="165" t="s">
        <v>74</v>
      </c>
      <c r="E2" s="166" t="e">
        <f>E57+'табель сирот'!D44</f>
        <v>#REF!</v>
      </c>
      <c r="F2" s="166" t="e">
        <f>F56+'табель сирот'!E44</f>
        <v>#REF!</v>
      </c>
      <c r="G2" s="166" t="e">
        <f>G56+'табель сирот'!F44</f>
        <v>#REF!</v>
      </c>
      <c r="H2" s="166" t="e">
        <f>H56+'табель сирот'!G44</f>
        <v>#REF!</v>
      </c>
      <c r="I2" s="166" t="e">
        <f>I56+'табель сирот'!H44</f>
        <v>#REF!</v>
      </c>
      <c r="J2" s="166" t="e">
        <f>J56+'табель сирот'!I44</f>
        <v>#REF!</v>
      </c>
      <c r="K2" s="166"/>
      <c r="L2" s="166" t="e">
        <f>L56+'табель сирот'!K44</f>
        <v>#REF!</v>
      </c>
      <c r="M2" s="166"/>
      <c r="N2" s="166" t="e">
        <f>N56+'табель сирот'!M44</f>
        <v>#REF!</v>
      </c>
      <c r="O2" s="166" t="e">
        <f>O56+'табель сирот'!N44</f>
        <v>#REF!</v>
      </c>
      <c r="P2" s="166" t="e">
        <f>P56+'табель сирот'!O44</f>
        <v>#REF!</v>
      </c>
      <c r="Q2" s="166" t="e">
        <f>Q56+'табель сирот'!P44</f>
        <v>#REF!</v>
      </c>
      <c r="R2" s="166"/>
      <c r="S2" s="166" t="e">
        <f>S56+'табель сирот'!R44</f>
        <v>#REF!</v>
      </c>
      <c r="T2" s="166" t="e">
        <f>T56+'табель сирот'!S44</f>
        <v>#REF!</v>
      </c>
      <c r="U2" s="166" t="e">
        <f>U56+'табель сирот'!T44</f>
        <v>#REF!</v>
      </c>
      <c r="V2" s="166" t="e">
        <f>V56+'табель сирот'!U44</f>
        <v>#REF!</v>
      </c>
      <c r="W2" s="166" t="e">
        <f>W56+'табель сирот'!V44</f>
        <v>#REF!</v>
      </c>
      <c r="X2" s="166" t="e">
        <f>X56+'табель сирот'!W44</f>
        <v>#REF!</v>
      </c>
      <c r="Y2" s="166" t="e">
        <f>Y56+'табель сирот'!Y44</f>
        <v>#REF!</v>
      </c>
      <c r="Z2" s="166" t="e">
        <f>Z56+'табель сирот'!Z44</f>
        <v>#REF!</v>
      </c>
      <c r="AA2" s="166" t="e">
        <f>AA56+'табель сирот'!AA44</f>
        <v>#REF!</v>
      </c>
      <c r="AB2" s="166" t="e">
        <f>AB56+'табель сирот'!AB44</f>
        <v>#REF!</v>
      </c>
      <c r="AC2" s="166" t="e">
        <f>AC56+'табель сирот'!AC44</f>
        <v>#REF!</v>
      </c>
      <c r="AD2" s="166" t="e">
        <f>AD56+'табель сирот'!AD44</f>
        <v>#REF!</v>
      </c>
      <c r="AE2" s="166" t="e">
        <f>AE56+'табель сирот'!AF44</f>
        <v>#REF!</v>
      </c>
      <c r="AF2" s="166" t="e">
        <f>AF56+'табель сирот'!AH44</f>
        <v>#REF!</v>
      </c>
      <c r="AG2" s="166" t="e">
        <f>AG56+'табель сирот'!AI44</f>
        <v>#REF!</v>
      </c>
      <c r="AH2" s="166" t="e">
        <f>AH56+'табель сирот'!AJ44</f>
        <v>#REF!</v>
      </c>
      <c r="AI2" s="166"/>
      <c r="AJ2" s="166"/>
      <c r="AK2" s="166"/>
      <c r="AL2" s="166"/>
      <c r="AM2" s="166"/>
      <c r="AN2" s="166"/>
    </row>
    <row r="3" spans="1:46" hidden="1" outlineLevel="1" x14ac:dyDescent="0.2">
      <c r="D3" s="167" t="s">
        <v>75</v>
      </c>
      <c r="E3" s="168" t="e">
        <f>E58+'табель сирот'!D45</f>
        <v>#REF!</v>
      </c>
      <c r="F3" s="168" t="e">
        <f>F57+'табель сирот'!E45</f>
        <v>#REF!</v>
      </c>
      <c r="G3" s="168" t="e">
        <f>G57+'табель сирот'!F45</f>
        <v>#REF!</v>
      </c>
      <c r="H3" s="168" t="e">
        <f>H57+'табель сирот'!G45</f>
        <v>#REF!</v>
      </c>
      <c r="I3" s="168" t="e">
        <f>I57+'табель сирот'!H45</f>
        <v>#REF!</v>
      </c>
      <c r="J3" s="168" t="e">
        <f>J57+'табель сирот'!I45</f>
        <v>#REF!</v>
      </c>
      <c r="K3" s="168"/>
      <c r="L3" s="168" t="e">
        <f>L57+'табель сирот'!K45</f>
        <v>#REF!</v>
      </c>
      <c r="M3" s="168"/>
      <c r="N3" s="168" t="e">
        <f>N57+'табель сирот'!M45</f>
        <v>#REF!</v>
      </c>
      <c r="O3" s="168" t="e">
        <f>O57+'табель сирот'!N45</f>
        <v>#REF!</v>
      </c>
      <c r="P3" s="168" t="e">
        <f>P57+'табель сирот'!O45</f>
        <v>#REF!</v>
      </c>
      <c r="Q3" s="168" t="e">
        <f>Q57+'табель сирот'!P45</f>
        <v>#REF!</v>
      </c>
      <c r="R3" s="168"/>
      <c r="S3" s="168" t="e">
        <f>S57+'табель сирот'!R45</f>
        <v>#REF!</v>
      </c>
      <c r="T3" s="168" t="e">
        <f>T57+'табель сирот'!S45</f>
        <v>#REF!</v>
      </c>
      <c r="U3" s="168" t="e">
        <f>U57+'табель сирот'!T45</f>
        <v>#REF!</v>
      </c>
      <c r="V3" s="168" t="e">
        <f>V57+'табель сирот'!U45</f>
        <v>#REF!</v>
      </c>
      <c r="W3" s="168" t="e">
        <f>W57+'табель сирот'!V45</f>
        <v>#REF!</v>
      </c>
      <c r="X3" s="168" t="e">
        <f>X57+'табель сирот'!W45</f>
        <v>#REF!</v>
      </c>
      <c r="Y3" s="168" t="e">
        <f>Y57+'табель сирот'!Y45</f>
        <v>#REF!</v>
      </c>
      <c r="Z3" s="168" t="e">
        <f>Z57+'табель сирот'!Z45</f>
        <v>#REF!</v>
      </c>
      <c r="AA3" s="168" t="e">
        <f>AA57+'табель сирот'!AA45</f>
        <v>#REF!</v>
      </c>
      <c r="AB3" s="168" t="e">
        <f>AB57+'табель сирот'!AB45</f>
        <v>#REF!</v>
      </c>
      <c r="AC3" s="168" t="e">
        <f>AC57+'табель сирот'!AC45</f>
        <v>#REF!</v>
      </c>
      <c r="AD3" s="168" t="e">
        <f>AD57+'табель сирот'!AD45</f>
        <v>#REF!</v>
      </c>
      <c r="AE3" s="168" t="e">
        <f>AE57+'табель сирот'!AF45</f>
        <v>#REF!</v>
      </c>
      <c r="AF3" s="168" t="e">
        <f>AF57+'табель сирот'!AH45</f>
        <v>#REF!</v>
      </c>
      <c r="AG3" s="168" t="e">
        <f>AG57+'табель сирот'!AI45</f>
        <v>#REF!</v>
      </c>
      <c r="AH3" s="168" t="e">
        <f>AH57+'табель сирот'!AJ45</f>
        <v>#REF!</v>
      </c>
      <c r="AI3" s="168"/>
      <c r="AJ3" s="168"/>
      <c r="AK3" s="168"/>
      <c r="AL3" s="168"/>
      <c r="AM3" s="168"/>
      <c r="AN3" s="168"/>
    </row>
    <row r="4" spans="1:46" hidden="1" outlineLevel="1" x14ac:dyDescent="0.2">
      <c r="D4" s="169" t="s">
        <v>76</v>
      </c>
      <c r="E4" s="170">
        <f>E59+'табель сирот'!D46</f>
        <v>0</v>
      </c>
      <c r="F4" s="170" t="e">
        <f>F58+'табель сирот'!E46</f>
        <v>#REF!</v>
      </c>
      <c r="G4" s="170" t="e">
        <f>G58+'табель сирот'!F46</f>
        <v>#REF!</v>
      </c>
      <c r="H4" s="170" t="e">
        <f>H58+'табель сирот'!G46</f>
        <v>#REF!</v>
      </c>
      <c r="I4" s="170" t="e">
        <f>I58+'табель сирот'!H46</f>
        <v>#REF!</v>
      </c>
      <c r="J4" s="170" t="e">
        <f>J58+'табель сирот'!I46</f>
        <v>#REF!</v>
      </c>
      <c r="K4" s="170"/>
      <c r="L4" s="170" t="e">
        <f>L58+'табель сирот'!K46</f>
        <v>#REF!</v>
      </c>
      <c r="M4" s="170"/>
      <c r="N4" s="170" t="e">
        <f>N58+'табель сирот'!M46</f>
        <v>#REF!</v>
      </c>
      <c r="O4" s="170" t="e">
        <f>O58+'табель сирот'!N46</f>
        <v>#REF!</v>
      </c>
      <c r="P4" s="170" t="e">
        <f>P58+'табель сирот'!O46</f>
        <v>#REF!</v>
      </c>
      <c r="Q4" s="170" t="e">
        <f>Q58+'табель сирот'!P46</f>
        <v>#REF!</v>
      </c>
      <c r="R4" s="170"/>
      <c r="S4" s="170" t="e">
        <f>S58+'табель сирот'!R46</f>
        <v>#REF!</v>
      </c>
      <c r="T4" s="170" t="e">
        <f>T58+'табель сирот'!S46</f>
        <v>#REF!</v>
      </c>
      <c r="U4" s="170" t="e">
        <f>U58+'табель сирот'!T46</f>
        <v>#REF!</v>
      </c>
      <c r="V4" s="170" t="e">
        <f>V58+'табель сирот'!U46</f>
        <v>#REF!</v>
      </c>
      <c r="W4" s="170" t="e">
        <f>W58+'табель сирот'!V46</f>
        <v>#REF!</v>
      </c>
      <c r="X4" s="170" t="e">
        <f>X58+'табель сирот'!W46</f>
        <v>#REF!</v>
      </c>
      <c r="Y4" s="170" t="e">
        <f>Y58+'табель сирот'!Y46</f>
        <v>#REF!</v>
      </c>
      <c r="Z4" s="170" t="e">
        <f>Z58+'табель сирот'!Z46</f>
        <v>#REF!</v>
      </c>
      <c r="AA4" s="170" t="e">
        <f>AA58+'табель сирот'!AA46</f>
        <v>#REF!</v>
      </c>
      <c r="AB4" s="170" t="e">
        <f>AB58+'табель сирот'!AB46</f>
        <v>#REF!</v>
      </c>
      <c r="AC4" s="170" t="e">
        <f>AC58+'табель сирот'!AC46</f>
        <v>#REF!</v>
      </c>
      <c r="AD4" s="170" t="e">
        <f>AD58+'табель сирот'!AD46</f>
        <v>#REF!</v>
      </c>
      <c r="AE4" s="170" t="e">
        <f>AE58+'табель сирот'!AF46</f>
        <v>#REF!</v>
      </c>
      <c r="AF4" s="170" t="e">
        <f>AF58+'табель сирот'!AH46</f>
        <v>#REF!</v>
      </c>
      <c r="AG4" s="170" t="e">
        <f>AG58+'табель сирот'!AI46</f>
        <v>#REF!</v>
      </c>
      <c r="AH4" s="170" t="e">
        <f>AH58+'табель сирот'!AJ46</f>
        <v>#REF!</v>
      </c>
      <c r="AI4" s="170"/>
      <c r="AJ4" s="170"/>
      <c r="AK4" s="170"/>
      <c r="AL4" s="170"/>
      <c r="AM4" s="170"/>
      <c r="AN4" s="170"/>
    </row>
    <row r="5" spans="1:46" hidden="1" outlineLevel="1" x14ac:dyDescent="0.2">
      <c r="E5" s="162" t="e">
        <f t="shared" ref="E5" si="0">SUM(E1:E4)</f>
        <v>#REF!</v>
      </c>
      <c r="F5" s="162" t="e">
        <f t="shared" ref="F5" si="1">SUM(F1:F4)</f>
        <v>#REF!</v>
      </c>
      <c r="G5" s="162" t="e">
        <f>SUM(G1:G4)</f>
        <v>#REF!</v>
      </c>
      <c r="H5" s="162" t="e">
        <f t="shared" ref="H5:I5" si="2">SUM(H1:H4)</f>
        <v>#REF!</v>
      </c>
      <c r="I5" s="162" t="e">
        <f t="shared" si="2"/>
        <v>#REF!</v>
      </c>
      <c r="J5" s="162" t="e">
        <f>SUM(J1:J4)</f>
        <v>#REF!</v>
      </c>
      <c r="K5" s="162"/>
      <c r="L5" s="162" t="e">
        <f t="shared" ref="L5" si="3">SUM(L1:L4)</f>
        <v>#REF!</v>
      </c>
      <c r="M5" s="162"/>
      <c r="N5" s="162" t="e">
        <f t="shared" ref="N5:U5" si="4">SUM(N1:N4)</f>
        <v>#REF!</v>
      </c>
      <c r="O5" s="162" t="e">
        <f t="shared" si="4"/>
        <v>#REF!</v>
      </c>
      <c r="P5" s="162" t="e">
        <f t="shared" si="4"/>
        <v>#REF!</v>
      </c>
      <c r="Q5" s="162" t="e">
        <f t="shared" si="4"/>
        <v>#REF!</v>
      </c>
      <c r="R5" s="162"/>
      <c r="S5" s="162" t="e">
        <f t="shared" si="4"/>
        <v>#REF!</v>
      </c>
      <c r="T5" s="162" t="e">
        <f t="shared" si="4"/>
        <v>#REF!</v>
      </c>
      <c r="U5" s="162" t="e">
        <f t="shared" si="4"/>
        <v>#REF!</v>
      </c>
      <c r="V5" s="162" t="e">
        <f>SUM(V1:V4)</f>
        <v>#REF!</v>
      </c>
      <c r="W5" s="162" t="e">
        <f t="shared" ref="W5:AA5" si="5">SUM(W1:W4)</f>
        <v>#REF!</v>
      </c>
      <c r="X5" s="162" t="e">
        <f t="shared" si="5"/>
        <v>#REF!</v>
      </c>
      <c r="Y5" s="162" t="e">
        <f t="shared" si="5"/>
        <v>#REF!</v>
      </c>
      <c r="Z5" s="162" t="e">
        <f t="shared" si="5"/>
        <v>#REF!</v>
      </c>
      <c r="AA5" s="162" t="e">
        <f t="shared" si="5"/>
        <v>#REF!</v>
      </c>
      <c r="AB5" s="162" t="e">
        <f>SUM(AB1:AB4)</f>
        <v>#REF!</v>
      </c>
      <c r="AC5" s="162" t="e">
        <f t="shared" ref="AC5:AH5" si="6">SUM(AC1:AC4)</f>
        <v>#REF!</v>
      </c>
      <c r="AD5" s="162" t="e">
        <f t="shared" si="6"/>
        <v>#REF!</v>
      </c>
      <c r="AE5" s="162" t="e">
        <f t="shared" si="6"/>
        <v>#REF!</v>
      </c>
      <c r="AF5" s="162" t="e">
        <f t="shared" si="6"/>
        <v>#REF!</v>
      </c>
      <c r="AG5" s="162" t="e">
        <f t="shared" si="6"/>
        <v>#REF!</v>
      </c>
      <c r="AH5" s="162" t="e">
        <f t="shared" si="6"/>
        <v>#REF!</v>
      </c>
      <c r="AI5" s="162"/>
      <c r="AJ5" s="162"/>
      <c r="AK5" s="162"/>
      <c r="AL5" s="162"/>
      <c r="AM5" s="162"/>
      <c r="AN5" s="162"/>
    </row>
    <row r="6" spans="1:46" s="135" customFormat="1" ht="11.25" hidden="1" customHeight="1" outlineLevel="1" x14ac:dyDescent="0.2">
      <c r="A6" s="134"/>
      <c r="D6" s="136" t="s">
        <v>60</v>
      </c>
      <c r="E6" s="171">
        <f>E45+'табель сирот'!D37-E51</f>
        <v>-37</v>
      </c>
      <c r="F6" s="171">
        <f>F44+'табель сирот'!E37-F50</f>
        <v>-40</v>
      </c>
      <c r="G6" s="171">
        <f>G44+'табель сирот'!F37-G50</f>
        <v>-39</v>
      </c>
      <c r="H6" s="171">
        <f>H44+'табель сирот'!G37-H50</f>
        <v>-46</v>
      </c>
      <c r="I6" s="171">
        <f>I44+'табель сирот'!H37-I50</f>
        <v>-33</v>
      </c>
      <c r="J6" s="171">
        <f>J44+'табель сирот'!I37-J50</f>
        <v>-27</v>
      </c>
      <c r="K6" s="171"/>
      <c r="L6" s="171">
        <f>L44+'табель сирот'!K37-L50</f>
        <v>-48</v>
      </c>
      <c r="M6" s="171"/>
      <c r="N6" s="171">
        <f>N44+'табель сирот'!M37-N50</f>
        <v>-46</v>
      </c>
      <c r="O6" s="171">
        <f>O44+'табель сирот'!N37-O50</f>
        <v>-49</v>
      </c>
      <c r="P6" s="171">
        <f>P44+'табель сирот'!O37-P50</f>
        <v>-48</v>
      </c>
      <c r="Q6" s="171">
        <f>Q44+'табель сирот'!P37-Q50</f>
        <v>-38</v>
      </c>
      <c r="R6" s="171"/>
      <c r="S6" s="171">
        <f>S44+'табель сирот'!R37-S50</f>
        <v>-40</v>
      </c>
      <c r="T6" s="171">
        <f>T44+'табель сирот'!S37-T50</f>
        <v>-46</v>
      </c>
      <c r="U6" s="171">
        <f>U44+'табель сирот'!T37-U50</f>
        <v>-43</v>
      </c>
      <c r="V6" s="171">
        <f>V44+'табель сирот'!U37-V50</f>
        <v>-42</v>
      </c>
      <c r="W6" s="171">
        <f>W44+'табель сирот'!V37-W50</f>
        <v>0</v>
      </c>
      <c r="X6" s="171">
        <f>X44+'табель сирот'!W37-X50</f>
        <v>2</v>
      </c>
      <c r="Y6" s="171">
        <f>Y44+'табель сирот'!Y37-Y50</f>
        <v>2</v>
      </c>
      <c r="Z6" s="171">
        <f>Z44+'табель сирот'!Z37-Z50</f>
        <v>2</v>
      </c>
      <c r="AA6" s="171">
        <f>AA44+'табель сирот'!AA37-AA50</f>
        <v>2</v>
      </c>
      <c r="AB6" s="171">
        <f>AB44+'табель сирот'!AB37-AB50</f>
        <v>0</v>
      </c>
      <c r="AC6" s="171">
        <f>AC44+'табель сирот'!AC37-AC50</f>
        <v>0</v>
      </c>
      <c r="AD6" s="171">
        <f>AD44+'табель сирот'!AD37-AD50</f>
        <v>1</v>
      </c>
      <c r="AE6" s="171">
        <f>AE44+'табель сирот'!AF37-AE50</f>
        <v>3</v>
      </c>
      <c r="AF6" s="171">
        <f>AF44+'табель сирот'!AH37-AF50</f>
        <v>3</v>
      </c>
      <c r="AG6" s="171">
        <f>AG44+'табель сирот'!AI37-AG50</f>
        <v>2</v>
      </c>
      <c r="AH6" s="171">
        <f>AH44+'табель сирот'!AJ37-AH50</f>
        <v>0</v>
      </c>
      <c r="AI6" s="171"/>
      <c r="AJ6" s="171"/>
      <c r="AK6" s="171"/>
      <c r="AL6" s="171"/>
      <c r="AM6" s="171"/>
      <c r="AN6" s="171"/>
      <c r="AO6" s="148">
        <f>AO44+'табель сирот'!AQ37-AO50</f>
        <v>-560</v>
      </c>
      <c r="AP6" s="134"/>
      <c r="AT6" s="134"/>
    </row>
    <row r="7" spans="1:46" s="140" customFormat="1" ht="32.25" customHeight="1" collapsed="1" x14ac:dyDescent="0.25">
      <c r="A7" s="138" t="s">
        <v>92</v>
      </c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 t="s">
        <v>0</v>
      </c>
      <c r="R7" s="138"/>
      <c r="S7" s="426" t="s">
        <v>126</v>
      </c>
      <c r="T7" s="426"/>
      <c r="U7" s="426"/>
      <c r="V7" s="138" t="s">
        <v>115</v>
      </c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41" t="s">
        <v>26</v>
      </c>
      <c r="AP7" s="139"/>
      <c r="AT7" s="134"/>
    </row>
    <row r="8" spans="1:46" s="5" customFormat="1" ht="16.5" customHeight="1" x14ac:dyDescent="0.2">
      <c r="A8" s="4"/>
      <c r="C8" s="6"/>
      <c r="D8" s="4"/>
      <c r="AF8" s="7"/>
      <c r="AG8" s="7"/>
      <c r="AH8" s="7"/>
      <c r="AI8" s="7"/>
      <c r="AJ8" s="7"/>
      <c r="AK8" s="7"/>
      <c r="AL8" s="7"/>
      <c r="AM8" s="7"/>
      <c r="AN8" s="7"/>
      <c r="AO8" s="137"/>
      <c r="AP8" s="4"/>
      <c r="AT8" s="172"/>
    </row>
    <row r="9" spans="1:46" s="9" customFormat="1" ht="21.75" customHeight="1" x14ac:dyDescent="0.2">
      <c r="A9" s="428" t="s">
        <v>1</v>
      </c>
      <c r="B9" s="429" t="s">
        <v>94</v>
      </c>
      <c r="C9" s="429"/>
      <c r="D9" s="214" t="s">
        <v>63</v>
      </c>
      <c r="E9" s="191">
        <v>1</v>
      </c>
      <c r="F9" s="192">
        <v>2</v>
      </c>
      <c r="G9" s="192">
        <v>3</v>
      </c>
      <c r="H9" s="192">
        <v>4</v>
      </c>
      <c r="I9" s="192">
        <v>5</v>
      </c>
      <c r="J9" s="192">
        <v>6</v>
      </c>
      <c r="K9" s="192">
        <v>7</v>
      </c>
      <c r="L9" s="192">
        <v>8</v>
      </c>
      <c r="M9" s="192">
        <v>9</v>
      </c>
      <c r="N9" s="192">
        <v>10</v>
      </c>
      <c r="O9" s="192">
        <v>11</v>
      </c>
      <c r="P9" s="192">
        <v>12</v>
      </c>
      <c r="Q9" s="192">
        <v>13</v>
      </c>
      <c r="R9" s="192">
        <v>14</v>
      </c>
      <c r="S9" s="192">
        <v>15</v>
      </c>
      <c r="T9" s="192">
        <v>16</v>
      </c>
      <c r="U9" s="192">
        <v>17</v>
      </c>
      <c r="V9" s="192">
        <v>18</v>
      </c>
      <c r="W9" s="192">
        <v>19</v>
      </c>
      <c r="X9" s="192">
        <v>20</v>
      </c>
      <c r="Y9" s="192"/>
      <c r="Z9" s="192"/>
      <c r="AA9" s="192"/>
      <c r="AB9" s="192"/>
      <c r="AC9" s="192"/>
      <c r="AD9" s="192"/>
      <c r="AE9" s="192">
        <v>22</v>
      </c>
      <c r="AF9" s="192">
        <v>23</v>
      </c>
      <c r="AG9" s="192">
        <v>24</v>
      </c>
      <c r="AH9" s="192">
        <v>25</v>
      </c>
      <c r="AI9" s="192">
        <v>26</v>
      </c>
      <c r="AJ9" s="192">
        <v>27</v>
      </c>
      <c r="AK9" s="192">
        <v>28</v>
      </c>
      <c r="AL9" s="192">
        <v>29</v>
      </c>
      <c r="AM9" s="192">
        <v>30</v>
      </c>
      <c r="AN9" s="192">
        <v>31</v>
      </c>
      <c r="AO9" s="427" t="s">
        <v>3</v>
      </c>
      <c r="AT9" s="172"/>
    </row>
    <row r="10" spans="1:46" s="9" customFormat="1" ht="14.25" customHeight="1" x14ac:dyDescent="0.2">
      <c r="A10" s="428"/>
      <c r="B10" s="429"/>
      <c r="C10" s="429"/>
      <c r="D10" s="428" t="s">
        <v>88</v>
      </c>
      <c r="E10" s="193" t="s">
        <v>4</v>
      </c>
      <c r="F10" s="193" t="s">
        <v>4</v>
      </c>
      <c r="G10" s="193" t="s">
        <v>4</v>
      </c>
      <c r="H10" s="193" t="s">
        <v>4</v>
      </c>
      <c r="I10" s="193" t="s">
        <v>4</v>
      </c>
      <c r="J10" s="193" t="s">
        <v>4</v>
      </c>
      <c r="K10" s="193" t="s">
        <v>4</v>
      </c>
      <c r="L10" s="193" t="s">
        <v>4</v>
      </c>
      <c r="M10" s="193" t="s">
        <v>4</v>
      </c>
      <c r="N10" s="193" t="s">
        <v>4</v>
      </c>
      <c r="O10" s="193" t="s">
        <v>4</v>
      </c>
      <c r="P10" s="193" t="s">
        <v>4</v>
      </c>
      <c r="Q10" s="193" t="s">
        <v>4</v>
      </c>
      <c r="R10" s="193" t="s">
        <v>4</v>
      </c>
      <c r="S10" s="193" t="s">
        <v>4</v>
      </c>
      <c r="T10" s="193" t="s">
        <v>4</v>
      </c>
      <c r="U10" s="193" t="s">
        <v>4</v>
      </c>
      <c r="V10" s="193" t="s">
        <v>4</v>
      </c>
      <c r="W10" s="193" t="s">
        <v>4</v>
      </c>
      <c r="X10" s="193" t="s">
        <v>4</v>
      </c>
      <c r="Y10" s="193" t="s">
        <v>4</v>
      </c>
      <c r="Z10" s="193" t="s">
        <v>4</v>
      </c>
      <c r="AA10" s="193" t="s">
        <v>4</v>
      </c>
      <c r="AB10" s="193" t="s">
        <v>4</v>
      </c>
      <c r="AC10" s="193" t="s">
        <v>4</v>
      </c>
      <c r="AD10" s="193" t="s">
        <v>4</v>
      </c>
      <c r="AE10" s="193" t="s">
        <v>4</v>
      </c>
      <c r="AF10" s="193" t="s">
        <v>4</v>
      </c>
      <c r="AG10" s="194" t="s">
        <v>4</v>
      </c>
      <c r="AH10" s="194" t="s">
        <v>4</v>
      </c>
      <c r="AI10" s="194" t="s">
        <v>4</v>
      </c>
      <c r="AJ10" s="194" t="s">
        <v>4</v>
      </c>
      <c r="AK10" s="194" t="s">
        <v>4</v>
      </c>
      <c r="AL10" s="194" t="s">
        <v>4</v>
      </c>
      <c r="AM10" s="194" t="s">
        <v>4</v>
      </c>
      <c r="AN10" s="194" t="s">
        <v>4</v>
      </c>
      <c r="AO10" s="427"/>
      <c r="AT10" s="172"/>
    </row>
    <row r="11" spans="1:46" s="6" customFormat="1" ht="39" customHeight="1" x14ac:dyDescent="0.2">
      <c r="A11" s="428"/>
      <c r="B11" s="429"/>
      <c r="C11" s="429"/>
      <c r="D11" s="428"/>
      <c r="E11" s="195">
        <v>99.89</v>
      </c>
      <c r="F11" s="195">
        <v>99.89</v>
      </c>
      <c r="G11" s="195">
        <v>99.89</v>
      </c>
      <c r="H11" s="195">
        <v>99.89</v>
      </c>
      <c r="I11" s="195">
        <v>99.89</v>
      </c>
      <c r="J11" s="195">
        <v>99.89</v>
      </c>
      <c r="K11" s="195">
        <v>99.89</v>
      </c>
      <c r="L11" s="195">
        <v>99.89</v>
      </c>
      <c r="M11" s="195">
        <v>99.89</v>
      </c>
      <c r="N11" s="195">
        <v>99.89</v>
      </c>
      <c r="O11" s="195">
        <v>99.89</v>
      </c>
      <c r="P11" s="195">
        <v>99.89</v>
      </c>
      <c r="Q11" s="195">
        <v>99.89</v>
      </c>
      <c r="R11" s="195">
        <v>99.89</v>
      </c>
      <c r="S11" s="195">
        <v>99.89</v>
      </c>
      <c r="T11" s="195">
        <v>99.89</v>
      </c>
      <c r="U11" s="195">
        <v>99.89</v>
      </c>
      <c r="V11" s="195">
        <v>99.89</v>
      </c>
      <c r="W11" s="195">
        <v>99.89</v>
      </c>
      <c r="X11" s="195">
        <v>99.89</v>
      </c>
      <c r="Y11" s="195">
        <v>68.760000000000005</v>
      </c>
      <c r="Z11" s="195">
        <v>68.760000000000005</v>
      </c>
      <c r="AA11" s="195">
        <v>68.760000000000005</v>
      </c>
      <c r="AB11" s="195">
        <v>68.760000000000005</v>
      </c>
      <c r="AC11" s="195">
        <v>68.760000000000005</v>
      </c>
      <c r="AD11" s="195">
        <v>68.760000000000005</v>
      </c>
      <c r="AE11" s="195">
        <v>99.89</v>
      </c>
      <c r="AF11" s="195">
        <v>99.89</v>
      </c>
      <c r="AG11" s="195">
        <v>99.89</v>
      </c>
      <c r="AH11" s="195">
        <v>99.89</v>
      </c>
      <c r="AI11" s="195">
        <v>99.89</v>
      </c>
      <c r="AJ11" s="195">
        <v>99.89</v>
      </c>
      <c r="AK11" s="195">
        <v>99.89</v>
      </c>
      <c r="AL11" s="195">
        <v>99.89</v>
      </c>
      <c r="AM11" s="195">
        <v>99.89</v>
      </c>
      <c r="AN11" s="195">
        <v>99.89</v>
      </c>
      <c r="AO11" s="154">
        <f>SUM(E11:AN11)</f>
        <v>3409.2600000000007</v>
      </c>
      <c r="AP11" s="9"/>
      <c r="AS11" s="9" t="s">
        <v>5</v>
      </c>
      <c r="AT11" s="172"/>
    </row>
    <row r="12" spans="1:46" s="13" customFormat="1" ht="18" customHeight="1" x14ac:dyDescent="0.2">
      <c r="A12" s="158"/>
      <c r="B12" s="197"/>
      <c r="C12" s="198"/>
      <c r="D12" s="199">
        <v>46203</v>
      </c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>
        <v>1</v>
      </c>
      <c r="S12" s="200">
        <v>1</v>
      </c>
      <c r="T12" s="200">
        <v>1</v>
      </c>
      <c r="U12" s="200">
        <v>1</v>
      </c>
      <c r="V12" s="200"/>
      <c r="W12" s="200"/>
      <c r="X12" s="200">
        <v>1</v>
      </c>
      <c r="Y12" s="200"/>
      <c r="Z12" s="200"/>
      <c r="AA12" s="200"/>
      <c r="AB12" s="200"/>
      <c r="AC12" s="200"/>
      <c r="AD12" s="200"/>
      <c r="AE12" s="200"/>
      <c r="AF12" s="189">
        <v>1</v>
      </c>
      <c r="AG12" s="189">
        <v>1</v>
      </c>
      <c r="AH12" s="189"/>
      <c r="AI12" s="189"/>
      <c r="AJ12" s="189">
        <v>1</v>
      </c>
      <c r="AK12" s="189">
        <v>1</v>
      </c>
      <c r="AL12" s="189">
        <v>1</v>
      </c>
      <c r="AM12" s="189">
        <v>1</v>
      </c>
      <c r="AN12" s="189">
        <v>1</v>
      </c>
      <c r="AO12" s="150">
        <f t="shared" ref="AO12:AO16" si="7">AQ12</f>
        <v>899.01</v>
      </c>
      <c r="AP12" s="12">
        <f t="shared" ref="AP12:AP16" si="8">SUM(E12:AN12)</f>
        <v>12</v>
      </c>
      <c r="AQ12" s="180">
        <f t="shared" ref="AQ12:AQ16" si="9">$E$11*E12+$F$11*F12+$G$11*G12+$H$11*H12+$I$11*I12+$J$11*J12+$L$11*L12+$M$11*M12+$N$11*N12+$O$11*O12+$P$11*P12+$Q$11*Q12+$S$11*S12+$T$11*T12+$U$11*U12+$V$11*V12+$W$11*W12+$X$11*X12+$Y$11*Y12+$Z$11*Z12+$AA$11*AA12+$AB$11*AB12+$AC$11*AC12+$AD$11*AD12+$AE$11*AE12+$AF$11*AF12+$AG$11*AG12+$AH$11*AH12+$AI$11*AI12+$AJ$11*AJ12+$AL$11*AL12+$AN$11*AN12</f>
        <v>899.01</v>
      </c>
      <c r="AR12" s="179"/>
      <c r="AS12" s="14"/>
      <c r="AT12" s="176"/>
    </row>
    <row r="13" spans="1:46" s="13" customFormat="1" ht="18" customHeight="1" outlineLevel="1" x14ac:dyDescent="0.2">
      <c r="A13" s="158"/>
      <c r="B13" s="197"/>
      <c r="C13" s="198"/>
      <c r="D13" s="199">
        <v>46203</v>
      </c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>
        <v>1</v>
      </c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189"/>
      <c r="AG13" s="189">
        <v>1</v>
      </c>
      <c r="AH13" s="189"/>
      <c r="AI13" s="189"/>
      <c r="AJ13" s="189">
        <v>1</v>
      </c>
      <c r="AK13" s="189"/>
      <c r="AL13" s="189"/>
      <c r="AM13" s="189"/>
      <c r="AN13" s="189">
        <v>1</v>
      </c>
      <c r="AO13" s="150">
        <f t="shared" si="7"/>
        <v>399.56</v>
      </c>
      <c r="AP13" s="12">
        <f t="shared" si="8"/>
        <v>4</v>
      </c>
      <c r="AQ13" s="180">
        <f t="shared" si="9"/>
        <v>399.56</v>
      </c>
      <c r="AR13" s="179"/>
      <c r="AS13" s="14"/>
      <c r="AT13" s="176"/>
    </row>
    <row r="14" spans="1:46" s="13" customFormat="1" ht="18" customHeight="1" outlineLevel="1" x14ac:dyDescent="0.2">
      <c r="A14" s="158"/>
      <c r="B14" s="197"/>
      <c r="C14" s="198"/>
      <c r="D14" s="199">
        <v>45838</v>
      </c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189"/>
      <c r="AG14" s="189"/>
      <c r="AH14" s="189"/>
      <c r="AI14" s="189"/>
      <c r="AJ14" s="189"/>
      <c r="AK14" s="189"/>
      <c r="AL14" s="189"/>
      <c r="AM14" s="189"/>
      <c r="AN14" s="189"/>
      <c r="AO14" s="150">
        <f t="shared" si="7"/>
        <v>0</v>
      </c>
      <c r="AP14" s="12">
        <f t="shared" si="8"/>
        <v>0</v>
      </c>
      <c r="AQ14" s="180">
        <f t="shared" si="9"/>
        <v>0</v>
      </c>
      <c r="AR14" s="179"/>
      <c r="AS14" s="14"/>
      <c r="AT14" s="176"/>
    </row>
    <row r="15" spans="1:46" s="13" customFormat="1" ht="18" customHeight="1" outlineLevel="1" x14ac:dyDescent="0.2">
      <c r="A15" s="158"/>
      <c r="B15" s="197"/>
      <c r="C15" s="198"/>
      <c r="D15" s="199">
        <v>45838</v>
      </c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189"/>
      <c r="AG15" s="189"/>
      <c r="AH15" s="189"/>
      <c r="AI15" s="189"/>
      <c r="AJ15" s="189"/>
      <c r="AK15" s="189"/>
      <c r="AL15" s="189"/>
      <c r="AM15" s="189"/>
      <c r="AN15" s="189"/>
      <c r="AO15" s="150">
        <f t="shared" si="7"/>
        <v>0</v>
      </c>
      <c r="AP15" s="12">
        <f t="shared" si="8"/>
        <v>0</v>
      </c>
      <c r="AQ15" s="180">
        <f t="shared" si="9"/>
        <v>0</v>
      </c>
      <c r="AR15" s="179"/>
      <c r="AS15" s="14"/>
      <c r="AT15" s="176"/>
    </row>
    <row r="16" spans="1:46" s="13" customFormat="1" ht="18" customHeight="1" outlineLevel="1" x14ac:dyDescent="0.2">
      <c r="A16" s="158"/>
      <c r="B16" s="197"/>
      <c r="C16" s="198"/>
      <c r="D16" s="199">
        <v>45838</v>
      </c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/>
      <c r="AF16" s="189"/>
      <c r="AG16" s="189"/>
      <c r="AH16" s="189"/>
      <c r="AI16" s="189"/>
      <c r="AJ16" s="189"/>
      <c r="AK16" s="189"/>
      <c r="AL16" s="189"/>
      <c r="AM16" s="189"/>
      <c r="AN16" s="189"/>
      <c r="AO16" s="150">
        <f t="shared" si="7"/>
        <v>0</v>
      </c>
      <c r="AP16" s="12">
        <f t="shared" si="8"/>
        <v>0</v>
      </c>
      <c r="AQ16" s="180">
        <f t="shared" si="9"/>
        <v>0</v>
      </c>
      <c r="AR16" s="179"/>
      <c r="AS16" s="14"/>
      <c r="AT16" s="176"/>
    </row>
    <row r="17" spans="1:46" s="13" customFormat="1" ht="18" customHeight="1" outlineLevel="1" x14ac:dyDescent="0.2">
      <c r="A17" s="158"/>
      <c r="B17" s="197"/>
      <c r="C17" s="198"/>
      <c r="D17" s="199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189"/>
      <c r="AG17" s="189"/>
      <c r="AH17" s="189"/>
      <c r="AI17" s="189"/>
      <c r="AJ17" s="189"/>
      <c r="AK17" s="189"/>
      <c r="AL17" s="189"/>
      <c r="AM17" s="189"/>
      <c r="AN17" s="189"/>
      <c r="AO17" s="150">
        <f t="shared" ref="AO17:AO42" si="10">AQ17</f>
        <v>0</v>
      </c>
      <c r="AP17" s="12">
        <f t="shared" ref="AP17:AP44" si="11">SUM(E17:AN17)</f>
        <v>0</v>
      </c>
      <c r="AQ17" s="180">
        <f t="shared" ref="AQ17:AQ44" si="12">$E$11*E17+$F$11*F17+$G$11*G17+$H$11*H17+$I$11*I17+$J$11*J17+$L$11*L17+$M$11*M17+$N$11*N17+$O$11*O17+$P$11*P17+$Q$11*Q17+$S$11*S17+$T$11*T17+$U$11*U17+$V$11*V17+$W$11*W17+$X$11*X17+$Y$11*Y17+$Z$11*Z17+$AA$11*AA17+$AB$11*AB17+$AC$11*AC17+$AD$11*AD17+$AE$11*AE17+$AF$11*AF17+$AG$11*AG17+$AH$11*AH17+$AI$11*AI17+$AJ$11*AJ17+$AL$11*AL17+$AN$11*AN17</f>
        <v>0</v>
      </c>
      <c r="AR17" s="179"/>
      <c r="AS17" s="14"/>
      <c r="AT17" s="176"/>
    </row>
    <row r="18" spans="1:46" s="13" customFormat="1" ht="18" customHeight="1" outlineLevel="1" x14ac:dyDescent="0.2">
      <c r="A18" s="158"/>
      <c r="B18" s="197"/>
      <c r="C18" s="198"/>
      <c r="D18" s="199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189"/>
      <c r="AG18" s="189"/>
      <c r="AH18" s="189"/>
      <c r="AI18" s="189"/>
      <c r="AJ18" s="189"/>
      <c r="AK18" s="189"/>
      <c r="AL18" s="189"/>
      <c r="AM18" s="189"/>
      <c r="AN18" s="189"/>
      <c r="AO18" s="150">
        <f t="shared" si="10"/>
        <v>0</v>
      </c>
      <c r="AP18" s="12">
        <f t="shared" si="11"/>
        <v>0</v>
      </c>
      <c r="AQ18" s="180">
        <f t="shared" si="12"/>
        <v>0</v>
      </c>
      <c r="AR18" s="179"/>
      <c r="AS18" s="14"/>
      <c r="AT18" s="176"/>
    </row>
    <row r="19" spans="1:46" s="13" customFormat="1" ht="18" customHeight="1" outlineLevel="1" x14ac:dyDescent="0.2">
      <c r="A19" s="158"/>
      <c r="B19" s="197"/>
      <c r="C19" s="198"/>
      <c r="D19" s="198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189"/>
      <c r="AG19" s="189"/>
      <c r="AH19" s="189"/>
      <c r="AI19" s="189"/>
      <c r="AJ19" s="189"/>
      <c r="AK19" s="189"/>
      <c r="AL19" s="189"/>
      <c r="AM19" s="189"/>
      <c r="AN19" s="189"/>
      <c r="AO19" s="150">
        <f t="shared" si="10"/>
        <v>0</v>
      </c>
      <c r="AP19" s="12">
        <f t="shared" si="11"/>
        <v>0</v>
      </c>
      <c r="AQ19" s="180">
        <f t="shared" si="12"/>
        <v>0</v>
      </c>
      <c r="AR19" s="179"/>
      <c r="AS19" s="14"/>
      <c r="AT19" s="176"/>
    </row>
    <row r="20" spans="1:46" s="13" customFormat="1" ht="18" customHeight="1" outlineLevel="1" x14ac:dyDescent="0.2">
      <c r="A20" s="158"/>
      <c r="B20" s="197"/>
      <c r="C20" s="198"/>
      <c r="D20" s="199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189"/>
      <c r="AG20" s="189"/>
      <c r="AH20" s="189"/>
      <c r="AI20" s="189"/>
      <c r="AJ20" s="189"/>
      <c r="AK20" s="189"/>
      <c r="AL20" s="189"/>
      <c r="AM20" s="189"/>
      <c r="AN20" s="189"/>
      <c r="AO20" s="150">
        <f t="shared" si="10"/>
        <v>0</v>
      </c>
      <c r="AP20" s="12">
        <f t="shared" si="11"/>
        <v>0</v>
      </c>
      <c r="AQ20" s="180">
        <f t="shared" si="12"/>
        <v>0</v>
      </c>
      <c r="AR20" s="179"/>
      <c r="AS20" s="14"/>
      <c r="AT20" s="176"/>
    </row>
    <row r="21" spans="1:46" s="13" customFormat="1" ht="18" customHeight="1" outlineLevel="1" x14ac:dyDescent="0.2">
      <c r="A21" s="158"/>
      <c r="B21" s="197"/>
      <c r="C21" s="198"/>
      <c r="D21" s="199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189"/>
      <c r="AG21" s="189"/>
      <c r="AH21" s="189"/>
      <c r="AI21" s="189"/>
      <c r="AJ21" s="189"/>
      <c r="AK21" s="189"/>
      <c r="AL21" s="189"/>
      <c r="AM21" s="189"/>
      <c r="AN21" s="189"/>
      <c r="AO21" s="150">
        <f t="shared" si="10"/>
        <v>0</v>
      </c>
      <c r="AP21" s="12">
        <f t="shared" si="11"/>
        <v>0</v>
      </c>
      <c r="AQ21" s="180">
        <f t="shared" si="12"/>
        <v>0</v>
      </c>
      <c r="AR21" s="179"/>
      <c r="AS21" s="14"/>
      <c r="AT21" s="176"/>
    </row>
    <row r="22" spans="1:46" s="13" customFormat="1" ht="18" customHeight="1" outlineLevel="1" x14ac:dyDescent="0.2">
      <c r="A22" s="158"/>
      <c r="B22" s="197"/>
      <c r="C22" s="198"/>
      <c r="D22" s="199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189"/>
      <c r="AG22" s="189"/>
      <c r="AH22" s="189"/>
      <c r="AI22" s="189"/>
      <c r="AJ22" s="189"/>
      <c r="AK22" s="189"/>
      <c r="AL22" s="189"/>
      <c r="AM22" s="189"/>
      <c r="AN22" s="189"/>
      <c r="AO22" s="150">
        <f t="shared" si="10"/>
        <v>0</v>
      </c>
      <c r="AP22" s="12">
        <f t="shared" si="11"/>
        <v>0</v>
      </c>
      <c r="AQ22" s="180">
        <f t="shared" si="12"/>
        <v>0</v>
      </c>
      <c r="AR22" s="179"/>
      <c r="AS22" s="14"/>
      <c r="AT22" s="176"/>
    </row>
    <row r="23" spans="1:46" s="13" customFormat="1" ht="18" customHeight="1" outlineLevel="1" x14ac:dyDescent="0.2">
      <c r="A23" s="158"/>
      <c r="B23" s="197"/>
      <c r="C23" s="198"/>
      <c r="D23" s="199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189"/>
      <c r="AG23" s="189"/>
      <c r="AH23" s="189"/>
      <c r="AI23" s="189"/>
      <c r="AJ23" s="189"/>
      <c r="AK23" s="189"/>
      <c r="AL23" s="189"/>
      <c r="AM23" s="189"/>
      <c r="AN23" s="189"/>
      <c r="AO23" s="150">
        <f t="shared" si="10"/>
        <v>0</v>
      </c>
      <c r="AP23" s="12">
        <f t="shared" si="11"/>
        <v>0</v>
      </c>
      <c r="AQ23" s="180">
        <f t="shared" si="12"/>
        <v>0</v>
      </c>
      <c r="AR23" s="179"/>
      <c r="AS23" s="14"/>
      <c r="AT23" s="176"/>
    </row>
    <row r="24" spans="1:46" s="13" customFormat="1" ht="18" customHeight="1" outlineLevel="1" x14ac:dyDescent="0.2">
      <c r="A24" s="158"/>
      <c r="B24" s="197"/>
      <c r="C24" s="198"/>
      <c r="D24" s="199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189"/>
      <c r="AG24" s="189"/>
      <c r="AH24" s="189"/>
      <c r="AI24" s="189"/>
      <c r="AJ24" s="189"/>
      <c r="AK24" s="189"/>
      <c r="AL24" s="189"/>
      <c r="AM24" s="189"/>
      <c r="AN24" s="189"/>
      <c r="AO24" s="150">
        <f t="shared" si="10"/>
        <v>0</v>
      </c>
      <c r="AP24" s="12">
        <f t="shared" si="11"/>
        <v>0</v>
      </c>
      <c r="AQ24" s="180">
        <f t="shared" si="12"/>
        <v>0</v>
      </c>
      <c r="AR24" s="179"/>
      <c r="AS24" s="14"/>
      <c r="AT24" s="176"/>
    </row>
    <row r="25" spans="1:46" s="13" customFormat="1" ht="18" customHeight="1" outlineLevel="1" x14ac:dyDescent="0.2">
      <c r="A25" s="158"/>
      <c r="B25" s="197"/>
      <c r="C25" s="198"/>
      <c r="D25" s="199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189"/>
      <c r="AG25" s="189"/>
      <c r="AH25" s="189"/>
      <c r="AI25" s="189"/>
      <c r="AJ25" s="189"/>
      <c r="AK25" s="189"/>
      <c r="AL25" s="189"/>
      <c r="AM25" s="189"/>
      <c r="AN25" s="189"/>
      <c r="AO25" s="150">
        <f t="shared" si="10"/>
        <v>0</v>
      </c>
      <c r="AP25" s="12">
        <f t="shared" si="11"/>
        <v>0</v>
      </c>
      <c r="AQ25" s="180">
        <f t="shared" si="12"/>
        <v>0</v>
      </c>
      <c r="AR25" s="179"/>
      <c r="AS25" s="14"/>
      <c r="AT25" s="176"/>
    </row>
    <row r="26" spans="1:46" s="13" customFormat="1" ht="18" customHeight="1" outlineLevel="1" x14ac:dyDescent="0.2">
      <c r="A26" s="158"/>
      <c r="B26" s="197"/>
      <c r="C26" s="198"/>
      <c r="D26" s="199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189"/>
      <c r="AG26" s="189"/>
      <c r="AH26" s="189"/>
      <c r="AI26" s="189"/>
      <c r="AJ26" s="189"/>
      <c r="AK26" s="189"/>
      <c r="AL26" s="189"/>
      <c r="AM26" s="189"/>
      <c r="AN26" s="189"/>
      <c r="AO26" s="150">
        <f t="shared" si="10"/>
        <v>0</v>
      </c>
      <c r="AP26" s="12">
        <f t="shared" si="11"/>
        <v>0</v>
      </c>
      <c r="AQ26" s="180">
        <f t="shared" si="12"/>
        <v>0</v>
      </c>
      <c r="AR26" s="179"/>
      <c r="AS26" s="14"/>
      <c r="AT26" s="176"/>
    </row>
    <row r="27" spans="1:46" s="13" customFormat="1" ht="18" customHeight="1" outlineLevel="1" x14ac:dyDescent="0.2">
      <c r="A27" s="158"/>
      <c r="B27" s="197"/>
      <c r="C27" s="198"/>
      <c r="D27" s="199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189"/>
      <c r="AG27" s="189"/>
      <c r="AH27" s="189"/>
      <c r="AI27" s="189"/>
      <c r="AJ27" s="189"/>
      <c r="AK27" s="189"/>
      <c r="AL27" s="189"/>
      <c r="AM27" s="189"/>
      <c r="AN27" s="189"/>
      <c r="AO27" s="150">
        <f t="shared" si="10"/>
        <v>0</v>
      </c>
      <c r="AP27" s="12">
        <f t="shared" si="11"/>
        <v>0</v>
      </c>
      <c r="AQ27" s="180">
        <f t="shared" si="12"/>
        <v>0</v>
      </c>
      <c r="AR27" s="179"/>
      <c r="AS27" s="14"/>
      <c r="AT27" s="176"/>
    </row>
    <row r="28" spans="1:46" s="13" customFormat="1" ht="18" customHeight="1" outlineLevel="1" x14ac:dyDescent="0.2">
      <c r="A28" s="158"/>
      <c r="B28" s="197"/>
      <c r="C28" s="198"/>
      <c r="D28" s="199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189"/>
      <c r="AG28" s="189"/>
      <c r="AH28" s="189"/>
      <c r="AI28" s="189"/>
      <c r="AJ28" s="189"/>
      <c r="AK28" s="189"/>
      <c r="AL28" s="189"/>
      <c r="AM28" s="189"/>
      <c r="AN28" s="189"/>
      <c r="AO28" s="150">
        <f t="shared" si="10"/>
        <v>0</v>
      </c>
      <c r="AP28" s="12">
        <f t="shared" si="11"/>
        <v>0</v>
      </c>
      <c r="AQ28" s="180">
        <f t="shared" si="12"/>
        <v>0</v>
      </c>
      <c r="AR28" s="179"/>
      <c r="AS28" s="14"/>
      <c r="AT28" s="176"/>
    </row>
    <row r="29" spans="1:46" s="13" customFormat="1" ht="18" customHeight="1" outlineLevel="1" x14ac:dyDescent="0.2">
      <c r="A29" s="158"/>
      <c r="B29" s="197"/>
      <c r="C29" s="198"/>
      <c r="D29" s="199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189"/>
      <c r="AG29" s="189"/>
      <c r="AH29" s="189"/>
      <c r="AI29" s="189"/>
      <c r="AJ29" s="189"/>
      <c r="AK29" s="189"/>
      <c r="AL29" s="189"/>
      <c r="AM29" s="189"/>
      <c r="AN29" s="189"/>
      <c r="AO29" s="150">
        <f t="shared" si="10"/>
        <v>0</v>
      </c>
      <c r="AP29" s="12">
        <f t="shared" si="11"/>
        <v>0</v>
      </c>
      <c r="AQ29" s="180">
        <f t="shared" si="12"/>
        <v>0</v>
      </c>
      <c r="AR29" s="179"/>
      <c r="AS29" s="14"/>
      <c r="AT29" s="176"/>
    </row>
    <row r="30" spans="1:46" s="13" customFormat="1" ht="18" customHeight="1" outlineLevel="1" x14ac:dyDescent="0.2">
      <c r="A30" s="158"/>
      <c r="B30" s="197"/>
      <c r="C30" s="198"/>
      <c r="D30" s="199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189"/>
      <c r="AG30" s="189"/>
      <c r="AH30" s="189"/>
      <c r="AI30" s="189"/>
      <c r="AJ30" s="189"/>
      <c r="AK30" s="189"/>
      <c r="AL30" s="189"/>
      <c r="AM30" s="189"/>
      <c r="AN30" s="189"/>
      <c r="AO30" s="150">
        <f t="shared" si="10"/>
        <v>0</v>
      </c>
      <c r="AP30" s="12">
        <f t="shared" si="11"/>
        <v>0</v>
      </c>
      <c r="AQ30" s="180">
        <f t="shared" si="12"/>
        <v>0</v>
      </c>
      <c r="AR30" s="179"/>
      <c r="AS30" s="14"/>
      <c r="AT30" s="176"/>
    </row>
    <row r="31" spans="1:46" s="13" customFormat="1" ht="18" customHeight="1" outlineLevel="1" x14ac:dyDescent="0.2">
      <c r="A31" s="158"/>
      <c r="B31" s="197"/>
      <c r="C31" s="198"/>
      <c r="D31" s="199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189"/>
      <c r="AG31" s="189"/>
      <c r="AH31" s="189"/>
      <c r="AI31" s="189"/>
      <c r="AJ31" s="189"/>
      <c r="AK31" s="189"/>
      <c r="AL31" s="189"/>
      <c r="AM31" s="189"/>
      <c r="AN31" s="189"/>
      <c r="AO31" s="150">
        <f t="shared" si="10"/>
        <v>0</v>
      </c>
      <c r="AP31" s="12">
        <f t="shared" si="11"/>
        <v>0</v>
      </c>
      <c r="AQ31" s="180">
        <f t="shared" si="12"/>
        <v>0</v>
      </c>
      <c r="AR31" s="179"/>
      <c r="AS31" s="14"/>
      <c r="AT31" s="176"/>
    </row>
    <row r="32" spans="1:46" s="13" customFormat="1" ht="18" customHeight="1" outlineLevel="2" x14ac:dyDescent="0.2">
      <c r="A32" s="158"/>
      <c r="B32" s="197"/>
      <c r="C32" s="198"/>
      <c r="D32" s="199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189"/>
      <c r="AG32" s="189"/>
      <c r="AH32" s="189"/>
      <c r="AI32" s="189"/>
      <c r="AJ32" s="189"/>
      <c r="AK32" s="189"/>
      <c r="AL32" s="189"/>
      <c r="AM32" s="189"/>
      <c r="AN32" s="189"/>
      <c r="AO32" s="150">
        <f>AQ32</f>
        <v>0</v>
      </c>
      <c r="AP32" s="12">
        <f t="shared" si="11"/>
        <v>0</v>
      </c>
      <c r="AQ32" s="180">
        <f t="shared" si="12"/>
        <v>0</v>
      </c>
      <c r="AR32" s="179"/>
      <c r="AS32" s="14"/>
      <c r="AT32" s="176"/>
    </row>
    <row r="33" spans="1:46" s="13" customFormat="1" ht="18" customHeight="1" outlineLevel="2" x14ac:dyDescent="0.2">
      <c r="A33" s="158"/>
      <c r="B33" s="197"/>
      <c r="C33" s="198"/>
      <c r="D33" s="199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189"/>
      <c r="AG33" s="189"/>
      <c r="AH33" s="189"/>
      <c r="AI33" s="189"/>
      <c r="AJ33" s="189"/>
      <c r="AK33" s="189"/>
      <c r="AL33" s="189"/>
      <c r="AM33" s="189"/>
      <c r="AN33" s="189"/>
      <c r="AO33" s="150">
        <f t="shared" si="10"/>
        <v>0</v>
      </c>
      <c r="AP33" s="12">
        <f t="shared" si="11"/>
        <v>0</v>
      </c>
      <c r="AQ33" s="180">
        <f t="shared" si="12"/>
        <v>0</v>
      </c>
      <c r="AR33" s="179"/>
      <c r="AS33" s="14"/>
      <c r="AT33" s="176"/>
    </row>
    <row r="34" spans="1:46" s="13" customFormat="1" ht="18" customHeight="1" outlineLevel="2" x14ac:dyDescent="0.2">
      <c r="A34" s="158"/>
      <c r="B34" s="197"/>
      <c r="C34" s="198"/>
      <c r="D34" s="199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189"/>
      <c r="AG34" s="189"/>
      <c r="AH34" s="189"/>
      <c r="AI34" s="189"/>
      <c r="AJ34" s="189"/>
      <c r="AK34" s="189"/>
      <c r="AL34" s="189"/>
      <c r="AM34" s="189"/>
      <c r="AN34" s="189"/>
      <c r="AO34" s="150">
        <f t="shared" si="10"/>
        <v>0</v>
      </c>
      <c r="AP34" s="12">
        <f t="shared" si="11"/>
        <v>0</v>
      </c>
      <c r="AQ34" s="180">
        <f t="shared" si="12"/>
        <v>0</v>
      </c>
      <c r="AR34" s="179"/>
      <c r="AS34" s="14"/>
      <c r="AT34" s="176"/>
    </row>
    <row r="35" spans="1:46" s="13" customFormat="1" ht="18" customHeight="1" outlineLevel="2" x14ac:dyDescent="0.2">
      <c r="A35" s="158"/>
      <c r="B35" s="197"/>
      <c r="C35" s="198"/>
      <c r="D35" s="199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189"/>
      <c r="AG35" s="189"/>
      <c r="AH35" s="189"/>
      <c r="AI35" s="189"/>
      <c r="AJ35" s="189"/>
      <c r="AK35" s="189"/>
      <c r="AL35" s="189"/>
      <c r="AM35" s="189"/>
      <c r="AN35" s="189"/>
      <c r="AO35" s="150">
        <f t="shared" si="10"/>
        <v>0</v>
      </c>
      <c r="AP35" s="12">
        <f t="shared" si="11"/>
        <v>0</v>
      </c>
      <c r="AQ35" s="180">
        <f t="shared" si="12"/>
        <v>0</v>
      </c>
      <c r="AR35" s="179"/>
      <c r="AS35" s="14"/>
      <c r="AT35" s="176"/>
    </row>
    <row r="36" spans="1:46" s="13" customFormat="1" ht="18" customHeight="1" outlineLevel="2" x14ac:dyDescent="0.2">
      <c r="A36" s="158"/>
      <c r="B36" s="197"/>
      <c r="C36" s="198"/>
      <c r="D36" s="199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189"/>
      <c r="AG36" s="189"/>
      <c r="AH36" s="189"/>
      <c r="AI36" s="189"/>
      <c r="AJ36" s="189"/>
      <c r="AK36" s="189"/>
      <c r="AL36" s="189"/>
      <c r="AM36" s="189"/>
      <c r="AN36" s="189"/>
      <c r="AO36" s="150">
        <f t="shared" si="10"/>
        <v>0</v>
      </c>
      <c r="AP36" s="12">
        <f t="shared" si="11"/>
        <v>0</v>
      </c>
      <c r="AQ36" s="180">
        <f t="shared" si="12"/>
        <v>0</v>
      </c>
      <c r="AR36" s="179"/>
      <c r="AS36" s="14"/>
      <c r="AT36" s="176"/>
    </row>
    <row r="37" spans="1:46" s="13" customFormat="1" ht="18" customHeight="1" outlineLevel="2" x14ac:dyDescent="0.2">
      <c r="A37" s="158"/>
      <c r="B37" s="197"/>
      <c r="C37" s="198"/>
      <c r="D37" s="199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189"/>
      <c r="AG37" s="189"/>
      <c r="AH37" s="189"/>
      <c r="AI37" s="189"/>
      <c r="AJ37" s="189"/>
      <c r="AK37" s="189"/>
      <c r="AL37" s="189"/>
      <c r="AM37" s="189"/>
      <c r="AN37" s="189"/>
      <c r="AO37" s="150">
        <f t="shared" si="10"/>
        <v>0</v>
      </c>
      <c r="AP37" s="12">
        <f t="shared" si="11"/>
        <v>0</v>
      </c>
      <c r="AQ37" s="180">
        <f t="shared" si="12"/>
        <v>0</v>
      </c>
      <c r="AR37" s="179"/>
      <c r="AS37" s="14"/>
      <c r="AT37" s="176"/>
    </row>
    <row r="38" spans="1:46" s="13" customFormat="1" ht="18" customHeight="1" outlineLevel="2" x14ac:dyDescent="0.2">
      <c r="A38" s="158"/>
      <c r="B38" s="197"/>
      <c r="C38" s="198"/>
      <c r="D38" s="199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189"/>
      <c r="AG38" s="189"/>
      <c r="AH38" s="189"/>
      <c r="AI38" s="189"/>
      <c r="AJ38" s="189"/>
      <c r="AK38" s="189"/>
      <c r="AL38" s="189"/>
      <c r="AM38" s="189"/>
      <c r="AN38" s="189"/>
      <c r="AO38" s="150">
        <f t="shared" si="10"/>
        <v>0</v>
      </c>
      <c r="AP38" s="12">
        <f t="shared" si="11"/>
        <v>0</v>
      </c>
      <c r="AQ38" s="180">
        <f t="shared" si="12"/>
        <v>0</v>
      </c>
      <c r="AR38" s="179"/>
      <c r="AS38" s="14"/>
      <c r="AT38" s="176"/>
    </row>
    <row r="39" spans="1:46" s="13" customFormat="1" ht="18" customHeight="1" outlineLevel="2" x14ac:dyDescent="0.2">
      <c r="A39" s="158"/>
      <c r="B39" s="197"/>
      <c r="C39" s="198"/>
      <c r="D39" s="199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189"/>
      <c r="AG39" s="189"/>
      <c r="AH39" s="189"/>
      <c r="AI39" s="189"/>
      <c r="AJ39" s="189"/>
      <c r="AK39" s="189"/>
      <c r="AL39" s="189"/>
      <c r="AM39" s="189"/>
      <c r="AN39" s="189"/>
      <c r="AO39" s="150">
        <f t="shared" si="10"/>
        <v>0</v>
      </c>
      <c r="AP39" s="12">
        <f t="shared" si="11"/>
        <v>0</v>
      </c>
      <c r="AQ39" s="180">
        <f t="shared" si="12"/>
        <v>0</v>
      </c>
      <c r="AR39" s="179"/>
      <c r="AS39" s="14"/>
      <c r="AT39" s="176"/>
    </row>
    <row r="40" spans="1:46" s="13" customFormat="1" ht="18" customHeight="1" outlineLevel="2" x14ac:dyDescent="0.2">
      <c r="A40" s="158"/>
      <c r="B40" s="197"/>
      <c r="C40" s="198"/>
      <c r="D40" s="199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189"/>
      <c r="AG40" s="189"/>
      <c r="AH40" s="189"/>
      <c r="AI40" s="189"/>
      <c r="AJ40" s="189"/>
      <c r="AK40" s="189"/>
      <c r="AL40" s="189"/>
      <c r="AM40" s="189"/>
      <c r="AN40" s="189"/>
      <c r="AO40" s="150">
        <f t="shared" si="10"/>
        <v>0</v>
      </c>
      <c r="AP40" s="12">
        <f t="shared" si="11"/>
        <v>0</v>
      </c>
      <c r="AQ40" s="180">
        <f t="shared" si="12"/>
        <v>0</v>
      </c>
      <c r="AR40" s="179"/>
      <c r="AS40" s="14"/>
      <c r="AT40" s="176"/>
    </row>
    <row r="41" spans="1:46" s="13" customFormat="1" ht="18" customHeight="1" outlineLevel="2" x14ac:dyDescent="0.2">
      <c r="A41" s="158"/>
      <c r="B41" s="197"/>
      <c r="C41" s="198"/>
      <c r="D41" s="199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189"/>
      <c r="AG41" s="189"/>
      <c r="AH41" s="189"/>
      <c r="AI41" s="189"/>
      <c r="AJ41" s="189"/>
      <c r="AK41" s="189"/>
      <c r="AL41" s="189"/>
      <c r="AM41" s="189"/>
      <c r="AN41" s="189"/>
      <c r="AO41" s="150">
        <f t="shared" si="10"/>
        <v>0</v>
      </c>
      <c r="AP41" s="12">
        <f t="shared" si="11"/>
        <v>0</v>
      </c>
      <c r="AQ41" s="180">
        <f t="shared" si="12"/>
        <v>0</v>
      </c>
      <c r="AR41" s="179"/>
      <c r="AS41" s="14"/>
      <c r="AT41" s="176"/>
    </row>
    <row r="42" spans="1:46" s="13" customFormat="1" ht="18" customHeight="1" outlineLevel="2" x14ac:dyDescent="0.2">
      <c r="A42" s="158"/>
      <c r="B42" s="197"/>
      <c r="C42" s="198"/>
      <c r="D42" s="199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189"/>
      <c r="AG42" s="189"/>
      <c r="AH42" s="189"/>
      <c r="AI42" s="189"/>
      <c r="AJ42" s="189"/>
      <c r="AK42" s="189"/>
      <c r="AL42" s="189"/>
      <c r="AM42" s="189"/>
      <c r="AN42" s="189"/>
      <c r="AO42" s="150">
        <f t="shared" si="10"/>
        <v>0</v>
      </c>
      <c r="AP42" s="12">
        <f t="shared" si="11"/>
        <v>0</v>
      </c>
      <c r="AQ42" s="180">
        <f t="shared" si="12"/>
        <v>0</v>
      </c>
      <c r="AR42" s="179"/>
      <c r="AS42" s="14"/>
      <c r="AT42" s="176"/>
    </row>
    <row r="43" spans="1:46" s="13" customFormat="1" ht="18" customHeight="1" outlineLevel="2" x14ac:dyDescent="0.2">
      <c r="A43" s="158"/>
      <c r="B43" s="197" t="s">
        <v>156</v>
      </c>
      <c r="C43" s="198" t="s">
        <v>116</v>
      </c>
      <c r="D43" s="199"/>
      <c r="E43" s="200">
        <v>1</v>
      </c>
      <c r="F43" s="200"/>
      <c r="G43" s="200">
        <v>1</v>
      </c>
      <c r="H43" s="200"/>
      <c r="I43" s="200"/>
      <c r="J43" s="200">
        <v>1</v>
      </c>
      <c r="K43" s="200">
        <v>1</v>
      </c>
      <c r="L43" s="200">
        <v>1</v>
      </c>
      <c r="M43" s="200">
        <v>1</v>
      </c>
      <c r="N43" s="200">
        <v>1</v>
      </c>
      <c r="O43" s="200"/>
      <c r="P43" s="200"/>
      <c r="Q43" s="200">
        <v>1</v>
      </c>
      <c r="R43" s="200">
        <v>1</v>
      </c>
      <c r="S43" s="200">
        <v>1</v>
      </c>
      <c r="T43" s="200">
        <v>1</v>
      </c>
      <c r="U43" s="200">
        <v>1</v>
      </c>
      <c r="V43" s="200"/>
      <c r="W43" s="200"/>
      <c r="X43" s="200">
        <v>1</v>
      </c>
      <c r="Y43" s="200"/>
      <c r="Z43" s="200"/>
      <c r="AA43" s="200"/>
      <c r="AB43" s="200"/>
      <c r="AC43" s="200"/>
      <c r="AD43" s="200"/>
      <c r="AE43" s="200">
        <v>1</v>
      </c>
      <c r="AF43" s="189">
        <v>1</v>
      </c>
      <c r="AG43" s="189">
        <v>1</v>
      </c>
      <c r="AH43" s="189"/>
      <c r="AI43" s="189"/>
      <c r="AJ43" s="189">
        <v>1</v>
      </c>
      <c r="AK43" s="189">
        <v>1</v>
      </c>
      <c r="AL43" s="189">
        <v>1</v>
      </c>
      <c r="AM43" s="189">
        <v>1</v>
      </c>
      <c r="AN43" s="189">
        <v>1</v>
      </c>
      <c r="AO43" s="150"/>
      <c r="AP43" s="12"/>
      <c r="AQ43" s="180"/>
      <c r="AR43" s="179"/>
      <c r="AS43" s="14"/>
      <c r="AT43" s="176"/>
    </row>
    <row r="44" spans="1:46" s="46" customFormat="1" ht="17.25" customHeight="1" x14ac:dyDescent="0.2">
      <c r="A44" s="427" t="s">
        <v>68</v>
      </c>
      <c r="B44" s="427"/>
      <c r="C44" s="201"/>
      <c r="D44" s="202"/>
      <c r="E44" s="226">
        <f t="shared" ref="E44:X44" si="13">SUM(E12:E16)</f>
        <v>0</v>
      </c>
      <c r="F44" s="226">
        <f t="shared" si="13"/>
        <v>0</v>
      </c>
      <c r="G44" s="226">
        <f t="shared" si="13"/>
        <v>0</v>
      </c>
      <c r="H44" s="202">
        <f t="shared" si="13"/>
        <v>0</v>
      </c>
      <c r="I44" s="202">
        <f t="shared" si="13"/>
        <v>0</v>
      </c>
      <c r="J44" s="202">
        <f t="shared" si="13"/>
        <v>0</v>
      </c>
      <c r="K44" s="202"/>
      <c r="L44" s="202">
        <f t="shared" si="13"/>
        <v>0</v>
      </c>
      <c r="M44" s="202">
        <f t="shared" si="13"/>
        <v>0</v>
      </c>
      <c r="N44" s="202">
        <f t="shared" si="13"/>
        <v>0</v>
      </c>
      <c r="O44" s="226">
        <f t="shared" si="13"/>
        <v>0</v>
      </c>
      <c r="P44" s="202">
        <f t="shared" si="13"/>
        <v>0</v>
      </c>
      <c r="Q44" s="202">
        <f t="shared" si="13"/>
        <v>1</v>
      </c>
      <c r="R44" s="202"/>
      <c r="S44" s="226">
        <f t="shared" si="13"/>
        <v>1</v>
      </c>
      <c r="T44" s="226">
        <f t="shared" si="13"/>
        <v>1</v>
      </c>
      <c r="U44" s="226">
        <f t="shared" si="13"/>
        <v>1</v>
      </c>
      <c r="V44" s="226">
        <f t="shared" si="13"/>
        <v>0</v>
      </c>
      <c r="W44" s="226">
        <f t="shared" si="13"/>
        <v>0</v>
      </c>
      <c r="X44" s="202">
        <f t="shared" si="13"/>
        <v>1</v>
      </c>
      <c r="Y44" s="202">
        <f t="shared" ref="Y44:AD44" si="14">SUM(Y12:Y12)</f>
        <v>0</v>
      </c>
      <c r="Z44" s="202">
        <f t="shared" si="14"/>
        <v>0</v>
      </c>
      <c r="AA44" s="202">
        <f t="shared" si="14"/>
        <v>0</v>
      </c>
      <c r="AB44" s="202">
        <f t="shared" si="14"/>
        <v>0</v>
      </c>
      <c r="AC44" s="202">
        <f t="shared" si="14"/>
        <v>0</v>
      </c>
      <c r="AD44" s="202">
        <f t="shared" si="14"/>
        <v>0</v>
      </c>
      <c r="AE44" s="202">
        <f t="shared" ref="AE44:AN44" si="15">SUM(AE12:AE16)</f>
        <v>0</v>
      </c>
      <c r="AF44" s="202">
        <f t="shared" si="15"/>
        <v>1</v>
      </c>
      <c r="AG44" s="202">
        <f t="shared" si="15"/>
        <v>2</v>
      </c>
      <c r="AH44" s="202">
        <f t="shared" si="15"/>
        <v>0</v>
      </c>
      <c r="AI44" s="202">
        <f t="shared" si="15"/>
        <v>0</v>
      </c>
      <c r="AJ44" s="202">
        <f t="shared" si="15"/>
        <v>2</v>
      </c>
      <c r="AK44" s="202"/>
      <c r="AL44" s="202">
        <f t="shared" si="15"/>
        <v>1</v>
      </c>
      <c r="AM44" s="202"/>
      <c r="AN44" s="202">
        <f t="shared" si="15"/>
        <v>2</v>
      </c>
      <c r="AO44" s="153">
        <f>SUM(E44:AN44)</f>
        <v>13</v>
      </c>
      <c r="AP44" s="12">
        <f t="shared" si="11"/>
        <v>13</v>
      </c>
      <c r="AQ44" s="180">
        <f t="shared" si="12"/>
        <v>1298.57</v>
      </c>
      <c r="AR44" s="143"/>
      <c r="AT44" s="173"/>
    </row>
    <row r="45" spans="1:46" s="46" customFormat="1" ht="60" customHeight="1" x14ac:dyDescent="0.2">
      <c r="A45" s="427" t="s">
        <v>69</v>
      </c>
      <c r="B45" s="427"/>
      <c r="C45" s="203"/>
      <c r="D45" s="204"/>
      <c r="E45" s="205">
        <f t="shared" ref="E45:AN45" si="16">E44*E11</f>
        <v>0</v>
      </c>
      <c r="F45" s="205">
        <f t="shared" si="16"/>
        <v>0</v>
      </c>
      <c r="G45" s="205">
        <f t="shared" si="16"/>
        <v>0</v>
      </c>
      <c r="H45" s="205">
        <f t="shared" si="16"/>
        <v>0</v>
      </c>
      <c r="I45" s="205">
        <f t="shared" si="16"/>
        <v>0</v>
      </c>
      <c r="J45" s="205">
        <f t="shared" si="16"/>
        <v>0</v>
      </c>
      <c r="K45" s="205"/>
      <c r="L45" s="205">
        <f t="shared" si="16"/>
        <v>0</v>
      </c>
      <c r="M45" s="205">
        <f t="shared" si="16"/>
        <v>0</v>
      </c>
      <c r="N45" s="205">
        <f t="shared" si="16"/>
        <v>0</v>
      </c>
      <c r="O45" s="205">
        <f t="shared" si="16"/>
        <v>0</v>
      </c>
      <c r="P45" s="205">
        <f t="shared" si="16"/>
        <v>0</v>
      </c>
      <c r="Q45" s="205">
        <f t="shared" si="16"/>
        <v>99.89</v>
      </c>
      <c r="R45" s="205"/>
      <c r="S45" s="205">
        <f t="shared" si="16"/>
        <v>99.89</v>
      </c>
      <c r="T45" s="205">
        <f t="shared" si="16"/>
        <v>99.89</v>
      </c>
      <c r="U45" s="205">
        <f t="shared" si="16"/>
        <v>99.89</v>
      </c>
      <c r="V45" s="205">
        <f t="shared" si="16"/>
        <v>0</v>
      </c>
      <c r="W45" s="205">
        <f t="shared" si="16"/>
        <v>0</v>
      </c>
      <c r="X45" s="205">
        <f t="shared" si="16"/>
        <v>99.89</v>
      </c>
      <c r="Y45" s="205">
        <f t="shared" si="16"/>
        <v>0</v>
      </c>
      <c r="Z45" s="205">
        <f t="shared" si="16"/>
        <v>0</v>
      </c>
      <c r="AA45" s="205">
        <f t="shared" si="16"/>
        <v>0</v>
      </c>
      <c r="AB45" s="205">
        <f t="shared" si="16"/>
        <v>0</v>
      </c>
      <c r="AC45" s="205">
        <f t="shared" si="16"/>
        <v>0</v>
      </c>
      <c r="AD45" s="205">
        <f t="shared" si="16"/>
        <v>0</v>
      </c>
      <c r="AE45" s="205">
        <f t="shared" si="16"/>
        <v>0</v>
      </c>
      <c r="AF45" s="205">
        <f t="shared" si="16"/>
        <v>99.89</v>
      </c>
      <c r="AG45" s="205">
        <f t="shared" si="16"/>
        <v>199.78</v>
      </c>
      <c r="AH45" s="205">
        <f t="shared" si="16"/>
        <v>0</v>
      </c>
      <c r="AI45" s="205">
        <f t="shared" si="16"/>
        <v>0</v>
      </c>
      <c r="AJ45" s="205">
        <f t="shared" si="16"/>
        <v>199.78</v>
      </c>
      <c r="AK45" s="205"/>
      <c r="AL45" s="205">
        <f t="shared" si="16"/>
        <v>99.89</v>
      </c>
      <c r="AM45" s="205"/>
      <c r="AN45" s="205">
        <f t="shared" si="16"/>
        <v>199.78</v>
      </c>
      <c r="AO45" s="154">
        <f>SUM(E45:AN45)</f>
        <v>1298.57</v>
      </c>
      <c r="AP45" s="146"/>
      <c r="AR45" s="143"/>
      <c r="AT45" s="173"/>
    </row>
    <row r="46" spans="1:46" ht="18" hidden="1" customHeight="1" outlineLevel="1" x14ac:dyDescent="0.2">
      <c r="D46" s="157"/>
      <c r="E46" s="152"/>
      <c r="AQ46" s="21"/>
    </row>
    <row r="47" spans="1:46" ht="24.95" hidden="1" customHeight="1" outlineLevel="1" x14ac:dyDescent="0.2">
      <c r="A47" s="215"/>
      <c r="B47" s="23"/>
      <c r="C47" s="23"/>
      <c r="D47" s="133"/>
      <c r="F47" s="23"/>
      <c r="G47" s="23"/>
      <c r="H47" s="23"/>
      <c r="I47" s="23"/>
      <c r="J47" s="23"/>
      <c r="K47" s="23"/>
      <c r="L47" s="23" t="s">
        <v>81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Q47" s="24"/>
    </row>
    <row r="48" spans="1:46" ht="20.25" hidden="1" customHeight="1" outlineLevel="1" x14ac:dyDescent="0.2">
      <c r="D48" s="133"/>
      <c r="E48" s="23"/>
    </row>
    <row r="49" spans="4:43" ht="43.5" hidden="1" customHeight="1" outlineLevel="1" x14ac:dyDescent="0.2">
      <c r="D49" s="31" t="s">
        <v>66</v>
      </c>
      <c r="F49" s="155"/>
      <c r="G49" s="155"/>
      <c r="H49" s="155"/>
      <c r="I49" s="155"/>
      <c r="J49" s="155"/>
      <c r="K49" s="155"/>
      <c r="L49" s="155"/>
      <c r="M49" s="155"/>
      <c r="N49" s="155"/>
      <c r="O49" s="155"/>
      <c r="P49" s="155"/>
      <c r="Q49" s="155"/>
      <c r="R49" s="155"/>
      <c r="S49" s="155"/>
      <c r="T49" s="155"/>
      <c r="U49" s="155"/>
      <c r="V49" s="155"/>
      <c r="W49" s="155"/>
      <c r="X49" s="155"/>
      <c r="Y49" s="155"/>
      <c r="Z49" s="155"/>
      <c r="AA49" s="155"/>
      <c r="AB49" s="155"/>
      <c r="AC49" s="155"/>
      <c r="AD49" s="155"/>
      <c r="AE49" s="155"/>
      <c r="AF49" s="155"/>
      <c r="AQ49" s="215" t="s">
        <v>58</v>
      </c>
    </row>
    <row r="50" spans="4:43" hidden="1" outlineLevel="1" x14ac:dyDescent="0.2">
      <c r="D50" s="29" t="s">
        <v>59</v>
      </c>
      <c r="E50" s="155"/>
      <c r="F50" s="156">
        <v>41</v>
      </c>
      <c r="G50" s="156">
        <v>40</v>
      </c>
      <c r="H50" s="156">
        <v>47</v>
      </c>
      <c r="I50" s="156">
        <v>33</v>
      </c>
      <c r="J50" s="156">
        <v>28</v>
      </c>
      <c r="K50" s="156"/>
      <c r="L50" s="156">
        <v>48</v>
      </c>
      <c r="M50" s="156"/>
      <c r="N50" s="156">
        <v>48</v>
      </c>
      <c r="O50" s="156">
        <v>49</v>
      </c>
      <c r="P50" s="156">
        <v>48</v>
      </c>
      <c r="Q50" s="156">
        <v>41</v>
      </c>
      <c r="R50" s="156"/>
      <c r="S50" s="156">
        <v>43</v>
      </c>
      <c r="T50" s="156">
        <v>48</v>
      </c>
      <c r="U50" s="156">
        <v>45</v>
      </c>
      <c r="V50" s="156">
        <v>42</v>
      </c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6"/>
      <c r="AH50" s="16"/>
      <c r="AI50" s="16"/>
      <c r="AJ50" s="16"/>
      <c r="AK50" s="16"/>
      <c r="AL50" s="16"/>
      <c r="AM50" s="16"/>
      <c r="AN50" s="16"/>
      <c r="AO50" s="147">
        <f>SUM(E50:AH50)</f>
        <v>601</v>
      </c>
    </row>
    <row r="51" spans="4:43" hidden="1" outlineLevel="1" x14ac:dyDescent="0.2">
      <c r="E51" s="156">
        <v>38</v>
      </c>
    </row>
    <row r="52" spans="4:43" hidden="1" outlineLevel="1" x14ac:dyDescent="0.2"/>
    <row r="53" spans="4:43" hidden="1" outlineLevel="1" x14ac:dyDescent="0.2"/>
    <row r="54" spans="4:43" hidden="1" outlineLevel="1" x14ac:dyDescent="0.2"/>
    <row r="55" spans="4:43" hidden="1" outlineLevel="1" x14ac:dyDescent="0.2">
      <c r="D55" s="29" t="s">
        <v>73</v>
      </c>
      <c r="F55" s="162">
        <f t="shared" ref="F55:L55" si="17">SUM(F12:F12)</f>
        <v>0</v>
      </c>
      <c r="G55" s="162">
        <f t="shared" si="17"/>
        <v>0</v>
      </c>
      <c r="H55" s="162">
        <f t="shared" si="17"/>
        <v>0</v>
      </c>
      <c r="I55" s="162">
        <f t="shared" si="17"/>
        <v>0</v>
      </c>
      <c r="J55" s="162">
        <f t="shared" si="17"/>
        <v>0</v>
      </c>
      <c r="K55" s="162"/>
      <c r="L55" s="162">
        <f t="shared" si="17"/>
        <v>0</v>
      </c>
      <c r="M55" s="162"/>
      <c r="N55" s="162">
        <f t="shared" ref="N55:AH55" si="18">SUM(N12:N12)</f>
        <v>0</v>
      </c>
      <c r="O55" s="162">
        <f t="shared" si="18"/>
        <v>0</v>
      </c>
      <c r="P55" s="162">
        <f t="shared" si="18"/>
        <v>0</v>
      </c>
      <c r="Q55" s="162">
        <f t="shared" si="18"/>
        <v>0</v>
      </c>
      <c r="R55" s="162"/>
      <c r="S55" s="162">
        <f t="shared" si="18"/>
        <v>1</v>
      </c>
      <c r="T55" s="162">
        <f t="shared" si="18"/>
        <v>1</v>
      </c>
      <c r="U55" s="162">
        <f t="shared" si="18"/>
        <v>1</v>
      </c>
      <c r="V55" s="162">
        <f t="shared" si="18"/>
        <v>0</v>
      </c>
      <c r="W55" s="162">
        <f t="shared" si="18"/>
        <v>0</v>
      </c>
      <c r="X55" s="162">
        <f t="shared" si="18"/>
        <v>1</v>
      </c>
      <c r="Y55" s="162">
        <f t="shared" si="18"/>
        <v>0</v>
      </c>
      <c r="Z55" s="162">
        <f t="shared" si="18"/>
        <v>0</v>
      </c>
      <c r="AA55" s="162">
        <f t="shared" si="18"/>
        <v>0</v>
      </c>
      <c r="AB55" s="162">
        <f t="shared" si="18"/>
        <v>0</v>
      </c>
      <c r="AC55" s="162">
        <f t="shared" si="18"/>
        <v>0</v>
      </c>
      <c r="AD55" s="162">
        <f t="shared" si="18"/>
        <v>0</v>
      </c>
      <c r="AE55" s="162">
        <f t="shared" si="18"/>
        <v>0</v>
      </c>
      <c r="AF55" s="162">
        <f t="shared" si="18"/>
        <v>1</v>
      </c>
      <c r="AG55" s="162">
        <f t="shared" si="18"/>
        <v>1</v>
      </c>
      <c r="AH55" s="162">
        <f t="shared" si="18"/>
        <v>0</v>
      </c>
      <c r="AI55" s="162"/>
      <c r="AJ55" s="162"/>
      <c r="AK55" s="162"/>
      <c r="AL55" s="162"/>
      <c r="AM55" s="162"/>
      <c r="AN55" s="162"/>
    </row>
    <row r="56" spans="4:43" hidden="1" outlineLevel="1" x14ac:dyDescent="0.2">
      <c r="D56" s="29" t="s">
        <v>74</v>
      </c>
      <c r="E56" s="162">
        <f>SUM(E12:E12)</f>
        <v>0</v>
      </c>
      <c r="F56" s="162" t="e">
        <f>SUM(#REF!)</f>
        <v>#REF!</v>
      </c>
      <c r="G56" s="162" t="e">
        <f>SUM(#REF!)</f>
        <v>#REF!</v>
      </c>
      <c r="H56" s="162" t="e">
        <f>SUM(#REF!)</f>
        <v>#REF!</v>
      </c>
      <c r="I56" s="162" t="e">
        <f>SUM(#REF!)</f>
        <v>#REF!</v>
      </c>
      <c r="J56" s="162" t="e">
        <f>SUM(#REF!)</f>
        <v>#REF!</v>
      </c>
      <c r="K56" s="162"/>
      <c r="L56" s="162" t="e">
        <f>SUM(#REF!)</f>
        <v>#REF!</v>
      </c>
      <c r="M56" s="162"/>
      <c r="N56" s="162" t="e">
        <f>SUM(#REF!)</f>
        <v>#REF!</v>
      </c>
      <c r="O56" s="162" t="e">
        <f>SUM(#REF!)</f>
        <v>#REF!</v>
      </c>
      <c r="P56" s="162" t="e">
        <f>SUM(#REF!)</f>
        <v>#REF!</v>
      </c>
      <c r="Q56" s="162" t="e">
        <f>SUM(#REF!)</f>
        <v>#REF!</v>
      </c>
      <c r="R56" s="162"/>
      <c r="S56" s="162" t="e">
        <f>SUM(#REF!)</f>
        <v>#REF!</v>
      </c>
      <c r="T56" s="162" t="e">
        <f>SUM(#REF!)</f>
        <v>#REF!</v>
      </c>
      <c r="U56" s="162" t="e">
        <f>SUM(#REF!)</f>
        <v>#REF!</v>
      </c>
      <c r="V56" s="162" t="e">
        <f>SUM(#REF!)</f>
        <v>#REF!</v>
      </c>
      <c r="W56" s="162" t="e">
        <f>SUM(#REF!)</f>
        <v>#REF!</v>
      </c>
      <c r="X56" s="162" t="e">
        <f>SUM(#REF!)</f>
        <v>#REF!</v>
      </c>
      <c r="Y56" s="162" t="e">
        <f>SUM(#REF!)</f>
        <v>#REF!</v>
      </c>
      <c r="Z56" s="162" t="e">
        <f>SUM(#REF!)</f>
        <v>#REF!</v>
      </c>
      <c r="AA56" s="162" t="e">
        <f>SUM(#REF!)</f>
        <v>#REF!</v>
      </c>
      <c r="AB56" s="162" t="e">
        <f>SUM(#REF!)</f>
        <v>#REF!</v>
      </c>
      <c r="AC56" s="162" t="e">
        <f>SUM(#REF!)</f>
        <v>#REF!</v>
      </c>
      <c r="AD56" s="162" t="e">
        <f>SUM(#REF!)</f>
        <v>#REF!</v>
      </c>
      <c r="AE56" s="162" t="e">
        <f>SUM(#REF!)</f>
        <v>#REF!</v>
      </c>
      <c r="AF56" s="162" t="e">
        <f>SUM(#REF!)</f>
        <v>#REF!</v>
      </c>
      <c r="AG56" s="162" t="e">
        <f>SUM(#REF!)</f>
        <v>#REF!</v>
      </c>
      <c r="AH56" s="162" t="e">
        <f>SUM(#REF!)</f>
        <v>#REF!</v>
      </c>
      <c r="AI56" s="162"/>
      <c r="AJ56" s="162"/>
      <c r="AK56" s="162"/>
      <c r="AL56" s="162"/>
      <c r="AM56" s="162"/>
      <c r="AN56" s="162"/>
    </row>
    <row r="57" spans="4:43" hidden="1" outlineLevel="1" x14ac:dyDescent="0.2">
      <c r="D57" s="29" t="s">
        <v>75</v>
      </c>
      <c r="E57" s="162" t="e">
        <f>SUM(#REF!)</f>
        <v>#REF!</v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</row>
    <row r="58" spans="4:43" hidden="1" outlineLevel="1" x14ac:dyDescent="0.2">
      <c r="D58" s="29" t="s">
        <v>76</v>
      </c>
      <c r="E58" s="162"/>
      <c r="F58" s="162" t="e">
        <f>SUM(#REF!)</f>
        <v>#REF!</v>
      </c>
      <c r="G58" s="162" t="e">
        <f>SUM(#REF!)</f>
        <v>#REF!</v>
      </c>
      <c r="H58" s="162" t="e">
        <f>SUM(#REF!)</f>
        <v>#REF!</v>
      </c>
      <c r="I58" s="162" t="e">
        <f>SUM(#REF!)</f>
        <v>#REF!</v>
      </c>
      <c r="J58" s="162" t="e">
        <f>SUM(#REF!)</f>
        <v>#REF!</v>
      </c>
      <c r="K58" s="162"/>
      <c r="L58" s="162" t="e">
        <f>SUM(#REF!)</f>
        <v>#REF!</v>
      </c>
      <c r="M58" s="162"/>
      <c r="N58" s="162" t="e">
        <f>SUM(#REF!)</f>
        <v>#REF!</v>
      </c>
      <c r="O58" s="162" t="e">
        <f>SUM(#REF!)</f>
        <v>#REF!</v>
      </c>
      <c r="P58" s="162" t="e">
        <f>SUM(#REF!)</f>
        <v>#REF!</v>
      </c>
      <c r="Q58" s="162" t="e">
        <f>SUM(#REF!)</f>
        <v>#REF!</v>
      </c>
      <c r="R58" s="162"/>
      <c r="S58" s="162" t="e">
        <f>SUM(#REF!)</f>
        <v>#REF!</v>
      </c>
      <c r="T58" s="162" t="e">
        <f>SUM(#REF!)</f>
        <v>#REF!</v>
      </c>
      <c r="U58" s="162" t="e">
        <f>SUM(#REF!)</f>
        <v>#REF!</v>
      </c>
      <c r="V58" s="162" t="e">
        <f>SUM(#REF!)</f>
        <v>#REF!</v>
      </c>
      <c r="W58" s="162" t="e">
        <f>SUM(#REF!)</f>
        <v>#REF!</v>
      </c>
      <c r="X58" s="162" t="e">
        <f>SUM(#REF!)</f>
        <v>#REF!</v>
      </c>
      <c r="Y58" s="162" t="e">
        <f>SUM(#REF!)</f>
        <v>#REF!</v>
      </c>
      <c r="Z58" s="162" t="e">
        <f>SUM(#REF!)</f>
        <v>#REF!</v>
      </c>
      <c r="AA58" s="162" t="e">
        <f>SUM(#REF!)</f>
        <v>#REF!</v>
      </c>
      <c r="AB58" s="162" t="e">
        <f>SUM(#REF!)</f>
        <v>#REF!</v>
      </c>
      <c r="AC58" s="162" t="e">
        <f>SUM(#REF!)</f>
        <v>#REF!</v>
      </c>
      <c r="AD58" s="162" t="e">
        <f>SUM(#REF!)</f>
        <v>#REF!</v>
      </c>
      <c r="AE58" s="162" t="e">
        <f>SUM(#REF!)</f>
        <v>#REF!</v>
      </c>
      <c r="AF58" s="162" t="e">
        <f>SUM(#REF!)</f>
        <v>#REF!</v>
      </c>
      <c r="AG58" s="162" t="e">
        <f>SUM(#REF!)</f>
        <v>#REF!</v>
      </c>
      <c r="AH58" s="162" t="e">
        <f>SUM(#REF!)</f>
        <v>#REF!</v>
      </c>
      <c r="AI58" s="162"/>
      <c r="AJ58" s="162"/>
      <c r="AK58" s="162"/>
      <c r="AL58" s="162"/>
      <c r="AM58" s="162"/>
      <c r="AN58" s="162"/>
    </row>
    <row r="59" spans="4:43" hidden="1" outlineLevel="1" x14ac:dyDescent="0.2">
      <c r="E59" s="162">
        <f t="shared" ref="E59" si="19">SUM(E44:E44)</f>
        <v>0</v>
      </c>
      <c r="F59" s="162" t="e">
        <f t="shared" ref="E59:F60" si="20">SUM(F55:F58)</f>
        <v>#REF!</v>
      </c>
      <c r="G59" s="162" t="e">
        <f>SUM(G55:G58)</f>
        <v>#REF!</v>
      </c>
      <c r="H59" s="162" t="e">
        <f t="shared" ref="H59:AH59" si="21">SUM(H55:H58)</f>
        <v>#REF!</v>
      </c>
      <c r="I59" s="162" t="e">
        <f t="shared" si="21"/>
        <v>#REF!</v>
      </c>
      <c r="J59" s="162" t="e">
        <f t="shared" si="21"/>
        <v>#REF!</v>
      </c>
      <c r="K59" s="162"/>
      <c r="L59" s="162" t="e">
        <f t="shared" si="21"/>
        <v>#REF!</v>
      </c>
      <c r="M59" s="162"/>
      <c r="N59" s="162" t="e">
        <f t="shared" si="21"/>
        <v>#REF!</v>
      </c>
      <c r="O59" s="162" t="e">
        <f t="shared" si="21"/>
        <v>#REF!</v>
      </c>
      <c r="P59" s="162" t="e">
        <f t="shared" si="21"/>
        <v>#REF!</v>
      </c>
      <c r="Q59" s="162" t="e">
        <f t="shared" si="21"/>
        <v>#REF!</v>
      </c>
      <c r="R59" s="162"/>
      <c r="S59" s="162" t="e">
        <f t="shared" si="21"/>
        <v>#REF!</v>
      </c>
      <c r="T59" s="162" t="e">
        <f t="shared" si="21"/>
        <v>#REF!</v>
      </c>
      <c r="U59" s="162" t="e">
        <f t="shared" si="21"/>
        <v>#REF!</v>
      </c>
      <c r="V59" s="162" t="e">
        <f t="shared" si="21"/>
        <v>#REF!</v>
      </c>
      <c r="W59" s="162" t="e">
        <f t="shared" si="21"/>
        <v>#REF!</v>
      </c>
      <c r="X59" s="162" t="e">
        <f t="shared" si="21"/>
        <v>#REF!</v>
      </c>
      <c r="Y59" s="162" t="e">
        <f t="shared" si="21"/>
        <v>#REF!</v>
      </c>
      <c r="Z59" s="162" t="e">
        <f t="shared" si="21"/>
        <v>#REF!</v>
      </c>
      <c r="AA59" s="162" t="e">
        <f t="shared" si="21"/>
        <v>#REF!</v>
      </c>
      <c r="AB59" s="162" t="e">
        <f t="shared" si="21"/>
        <v>#REF!</v>
      </c>
      <c r="AC59" s="162" t="e">
        <f t="shared" si="21"/>
        <v>#REF!</v>
      </c>
      <c r="AD59" s="162" t="e">
        <f t="shared" si="21"/>
        <v>#REF!</v>
      </c>
      <c r="AE59" s="162" t="e">
        <f t="shared" si="21"/>
        <v>#REF!</v>
      </c>
      <c r="AF59" s="162" t="e">
        <f t="shared" si="21"/>
        <v>#REF!</v>
      </c>
      <c r="AG59" s="162" t="e">
        <f t="shared" si="21"/>
        <v>#REF!</v>
      </c>
      <c r="AH59" s="162" t="e">
        <f t="shared" si="21"/>
        <v>#REF!</v>
      </c>
      <c r="AI59" s="162"/>
      <c r="AJ59" s="162"/>
      <c r="AK59" s="162"/>
      <c r="AL59" s="162"/>
      <c r="AM59" s="162"/>
      <c r="AN59" s="162"/>
    </row>
    <row r="60" spans="4:43" hidden="1" outlineLevel="1" x14ac:dyDescent="0.2">
      <c r="E60" s="162" t="e">
        <f t="shared" si="20"/>
        <v>#REF!</v>
      </c>
    </row>
    <row r="61" spans="4:43" hidden="1" outlineLevel="1" x14ac:dyDescent="0.2"/>
    <row r="62" spans="4:43" hidden="1" outlineLevel="1" x14ac:dyDescent="0.2"/>
    <row r="63" spans="4:43" hidden="1" outlineLevel="1" x14ac:dyDescent="0.2"/>
    <row r="64" spans="4:43" hidden="1" outlineLevel="1" x14ac:dyDescent="0.2"/>
    <row r="65" hidden="1" outlineLevel="1" x14ac:dyDescent="0.2"/>
    <row r="66" hidden="1" outlineLevel="1" x14ac:dyDescent="0.2"/>
    <row r="67" hidden="1" outlineLevel="1" x14ac:dyDescent="0.2"/>
    <row r="68" hidden="1" outlineLevel="1" x14ac:dyDescent="0.2"/>
    <row r="69" hidden="1" outlineLevel="1" x14ac:dyDescent="0.2"/>
    <row r="70" hidden="1" outlineLevel="1" x14ac:dyDescent="0.2"/>
    <row r="71" hidden="1" outlineLevel="1" x14ac:dyDescent="0.2"/>
    <row r="72" hidden="1" outlineLevel="1" x14ac:dyDescent="0.2"/>
    <row r="73" collapsed="1" x14ac:dyDescent="0.2"/>
  </sheetData>
  <sortState ref="A12:AK21">
    <sortCondition ref="B12:B21"/>
  </sortState>
  <mergeCells count="7">
    <mergeCell ref="A45:B45"/>
    <mergeCell ref="S7:U7"/>
    <mergeCell ref="A9:A11"/>
    <mergeCell ref="B9:C11"/>
    <mergeCell ref="AO9:AO10"/>
    <mergeCell ref="D10:D11"/>
    <mergeCell ref="A44:B44"/>
  </mergeCells>
  <pageMargins left="0.31496062992125984" right="0.31496062992125984" top="0.55118110236220474" bottom="0.55118110236220474" header="0.31496062992125984" footer="0"/>
  <pageSetup paperSize="9" scale="63" fitToHeight="3" orientation="landscape" r:id="rId1"/>
  <headerFooter>
    <oddFooter>&amp;LМЦК-ЧЭМК Минобразования Чувашии&amp;CТабель питания студентов категории "малоимущие"&amp;Rстраница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0000"/>
    <pageSetUpPr fitToPage="1"/>
  </sheetPr>
  <dimension ref="A1:GL129"/>
  <sheetViews>
    <sheetView showGridLines="0" zoomScaleNormal="100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B23" sqref="B23:E23"/>
    </sheetView>
  </sheetViews>
  <sheetFormatPr defaultColWidth="10.7109375" defaultRowHeight="12.75" outlineLevelRow="1" x14ac:dyDescent="0.2"/>
  <cols>
    <col min="1" max="1" width="7.140625" style="68" customWidth="1"/>
    <col min="2" max="2" width="13.28515625" style="68" customWidth="1"/>
    <col min="3" max="3" width="15.28515625" style="68" customWidth="1"/>
    <col min="4" max="4" width="3.28515625" style="68" customWidth="1"/>
    <col min="5" max="5" width="13.7109375" style="68" customWidth="1"/>
    <col min="6" max="6" width="16.42578125" style="68" customWidth="1"/>
    <col min="7" max="7" width="6.28515625" style="68" customWidth="1"/>
    <col min="8" max="8" width="17.85546875" style="68" customWidth="1"/>
    <col min="9" max="9" width="11.140625" style="68" customWidth="1"/>
    <col min="10" max="10" width="10.7109375" style="95" customWidth="1"/>
    <col min="11" max="11" width="10.7109375" style="68" customWidth="1"/>
    <col min="12" max="256" width="10.7109375" style="68"/>
    <col min="257" max="257" width="7.140625" style="68" customWidth="1"/>
    <col min="258" max="258" width="13.28515625" style="68" customWidth="1"/>
    <col min="259" max="259" width="15.28515625" style="68" customWidth="1"/>
    <col min="260" max="260" width="3.28515625" style="68" customWidth="1"/>
    <col min="261" max="261" width="13.7109375" style="68" customWidth="1"/>
    <col min="262" max="262" width="10.7109375" style="68" customWidth="1"/>
    <col min="263" max="263" width="6.28515625" style="68" customWidth="1"/>
    <col min="264" max="264" width="17.85546875" style="68" customWidth="1"/>
    <col min="265" max="265" width="11.140625" style="68" customWidth="1"/>
    <col min="266" max="267" width="10.7109375" style="68" customWidth="1"/>
    <col min="268" max="512" width="10.7109375" style="68"/>
    <col min="513" max="513" width="7.140625" style="68" customWidth="1"/>
    <col min="514" max="514" width="13.28515625" style="68" customWidth="1"/>
    <col min="515" max="515" width="15.28515625" style="68" customWidth="1"/>
    <col min="516" max="516" width="3.28515625" style="68" customWidth="1"/>
    <col min="517" max="517" width="13.7109375" style="68" customWidth="1"/>
    <col min="518" max="518" width="10.7109375" style="68" customWidth="1"/>
    <col min="519" max="519" width="6.28515625" style="68" customWidth="1"/>
    <col min="520" max="520" width="17.85546875" style="68" customWidth="1"/>
    <col min="521" max="521" width="11.140625" style="68" customWidth="1"/>
    <col min="522" max="523" width="10.7109375" style="68" customWidth="1"/>
    <col min="524" max="768" width="10.7109375" style="68"/>
    <col min="769" max="769" width="7.140625" style="68" customWidth="1"/>
    <col min="770" max="770" width="13.28515625" style="68" customWidth="1"/>
    <col min="771" max="771" width="15.28515625" style="68" customWidth="1"/>
    <col min="772" max="772" width="3.28515625" style="68" customWidth="1"/>
    <col min="773" max="773" width="13.7109375" style="68" customWidth="1"/>
    <col min="774" max="774" width="10.7109375" style="68" customWidth="1"/>
    <col min="775" max="775" width="6.28515625" style="68" customWidth="1"/>
    <col min="776" max="776" width="17.85546875" style="68" customWidth="1"/>
    <col min="777" max="777" width="11.140625" style="68" customWidth="1"/>
    <col min="778" max="779" width="10.7109375" style="68" customWidth="1"/>
    <col min="780" max="1024" width="10.7109375" style="68"/>
    <col min="1025" max="1025" width="7.140625" style="68" customWidth="1"/>
    <col min="1026" max="1026" width="13.28515625" style="68" customWidth="1"/>
    <col min="1027" max="1027" width="15.28515625" style="68" customWidth="1"/>
    <col min="1028" max="1028" width="3.28515625" style="68" customWidth="1"/>
    <col min="1029" max="1029" width="13.7109375" style="68" customWidth="1"/>
    <col min="1030" max="1030" width="10.7109375" style="68" customWidth="1"/>
    <col min="1031" max="1031" width="6.28515625" style="68" customWidth="1"/>
    <col min="1032" max="1032" width="17.85546875" style="68" customWidth="1"/>
    <col min="1033" max="1033" width="11.140625" style="68" customWidth="1"/>
    <col min="1034" max="1035" width="10.7109375" style="68" customWidth="1"/>
    <col min="1036" max="1280" width="10.7109375" style="68"/>
    <col min="1281" max="1281" width="7.140625" style="68" customWidth="1"/>
    <col min="1282" max="1282" width="13.28515625" style="68" customWidth="1"/>
    <col min="1283" max="1283" width="15.28515625" style="68" customWidth="1"/>
    <col min="1284" max="1284" width="3.28515625" style="68" customWidth="1"/>
    <col min="1285" max="1285" width="13.7109375" style="68" customWidth="1"/>
    <col min="1286" max="1286" width="10.7109375" style="68" customWidth="1"/>
    <col min="1287" max="1287" width="6.28515625" style="68" customWidth="1"/>
    <col min="1288" max="1288" width="17.85546875" style="68" customWidth="1"/>
    <col min="1289" max="1289" width="11.140625" style="68" customWidth="1"/>
    <col min="1290" max="1291" width="10.7109375" style="68" customWidth="1"/>
    <col min="1292" max="1536" width="10.7109375" style="68"/>
    <col min="1537" max="1537" width="7.140625" style="68" customWidth="1"/>
    <col min="1538" max="1538" width="13.28515625" style="68" customWidth="1"/>
    <col min="1539" max="1539" width="15.28515625" style="68" customWidth="1"/>
    <col min="1540" max="1540" width="3.28515625" style="68" customWidth="1"/>
    <col min="1541" max="1541" width="13.7109375" style="68" customWidth="1"/>
    <col min="1542" max="1542" width="10.7109375" style="68" customWidth="1"/>
    <col min="1543" max="1543" width="6.28515625" style="68" customWidth="1"/>
    <col min="1544" max="1544" width="17.85546875" style="68" customWidth="1"/>
    <col min="1545" max="1545" width="11.140625" style="68" customWidth="1"/>
    <col min="1546" max="1547" width="10.7109375" style="68" customWidth="1"/>
    <col min="1548" max="1792" width="10.7109375" style="68"/>
    <col min="1793" max="1793" width="7.140625" style="68" customWidth="1"/>
    <col min="1794" max="1794" width="13.28515625" style="68" customWidth="1"/>
    <col min="1795" max="1795" width="15.28515625" style="68" customWidth="1"/>
    <col min="1796" max="1796" width="3.28515625" style="68" customWidth="1"/>
    <col min="1797" max="1797" width="13.7109375" style="68" customWidth="1"/>
    <col min="1798" max="1798" width="10.7109375" style="68" customWidth="1"/>
    <col min="1799" max="1799" width="6.28515625" style="68" customWidth="1"/>
    <col min="1800" max="1800" width="17.85546875" style="68" customWidth="1"/>
    <col min="1801" max="1801" width="11.140625" style="68" customWidth="1"/>
    <col min="1802" max="1803" width="10.7109375" style="68" customWidth="1"/>
    <col min="1804" max="2048" width="10.7109375" style="68"/>
    <col min="2049" max="2049" width="7.140625" style="68" customWidth="1"/>
    <col min="2050" max="2050" width="13.28515625" style="68" customWidth="1"/>
    <col min="2051" max="2051" width="15.28515625" style="68" customWidth="1"/>
    <col min="2052" max="2052" width="3.28515625" style="68" customWidth="1"/>
    <col min="2053" max="2053" width="13.7109375" style="68" customWidth="1"/>
    <col min="2054" max="2054" width="10.7109375" style="68" customWidth="1"/>
    <col min="2055" max="2055" width="6.28515625" style="68" customWidth="1"/>
    <col min="2056" max="2056" width="17.85546875" style="68" customWidth="1"/>
    <col min="2057" max="2057" width="11.140625" style="68" customWidth="1"/>
    <col min="2058" max="2059" width="10.7109375" style="68" customWidth="1"/>
    <col min="2060" max="2304" width="10.7109375" style="68"/>
    <col min="2305" max="2305" width="7.140625" style="68" customWidth="1"/>
    <col min="2306" max="2306" width="13.28515625" style="68" customWidth="1"/>
    <col min="2307" max="2307" width="15.28515625" style="68" customWidth="1"/>
    <col min="2308" max="2308" width="3.28515625" style="68" customWidth="1"/>
    <col min="2309" max="2309" width="13.7109375" style="68" customWidth="1"/>
    <col min="2310" max="2310" width="10.7109375" style="68" customWidth="1"/>
    <col min="2311" max="2311" width="6.28515625" style="68" customWidth="1"/>
    <col min="2312" max="2312" width="17.85546875" style="68" customWidth="1"/>
    <col min="2313" max="2313" width="11.140625" style="68" customWidth="1"/>
    <col min="2314" max="2315" width="10.7109375" style="68" customWidth="1"/>
    <col min="2316" max="2560" width="10.7109375" style="68"/>
    <col min="2561" max="2561" width="7.140625" style="68" customWidth="1"/>
    <col min="2562" max="2562" width="13.28515625" style="68" customWidth="1"/>
    <col min="2563" max="2563" width="15.28515625" style="68" customWidth="1"/>
    <col min="2564" max="2564" width="3.28515625" style="68" customWidth="1"/>
    <col min="2565" max="2565" width="13.7109375" style="68" customWidth="1"/>
    <col min="2566" max="2566" width="10.7109375" style="68" customWidth="1"/>
    <col min="2567" max="2567" width="6.28515625" style="68" customWidth="1"/>
    <col min="2568" max="2568" width="17.85546875" style="68" customWidth="1"/>
    <col min="2569" max="2569" width="11.140625" style="68" customWidth="1"/>
    <col min="2570" max="2571" width="10.7109375" style="68" customWidth="1"/>
    <col min="2572" max="2816" width="10.7109375" style="68"/>
    <col min="2817" max="2817" width="7.140625" style="68" customWidth="1"/>
    <col min="2818" max="2818" width="13.28515625" style="68" customWidth="1"/>
    <col min="2819" max="2819" width="15.28515625" style="68" customWidth="1"/>
    <col min="2820" max="2820" width="3.28515625" style="68" customWidth="1"/>
    <col min="2821" max="2821" width="13.7109375" style="68" customWidth="1"/>
    <col min="2822" max="2822" width="10.7109375" style="68" customWidth="1"/>
    <col min="2823" max="2823" width="6.28515625" style="68" customWidth="1"/>
    <col min="2824" max="2824" width="17.85546875" style="68" customWidth="1"/>
    <col min="2825" max="2825" width="11.140625" style="68" customWidth="1"/>
    <col min="2826" max="2827" width="10.7109375" style="68" customWidth="1"/>
    <col min="2828" max="3072" width="10.7109375" style="68"/>
    <col min="3073" max="3073" width="7.140625" style="68" customWidth="1"/>
    <col min="3074" max="3074" width="13.28515625" style="68" customWidth="1"/>
    <col min="3075" max="3075" width="15.28515625" style="68" customWidth="1"/>
    <col min="3076" max="3076" width="3.28515625" style="68" customWidth="1"/>
    <col min="3077" max="3077" width="13.7109375" style="68" customWidth="1"/>
    <col min="3078" max="3078" width="10.7109375" style="68" customWidth="1"/>
    <col min="3079" max="3079" width="6.28515625" style="68" customWidth="1"/>
    <col min="3080" max="3080" width="17.85546875" style="68" customWidth="1"/>
    <col min="3081" max="3081" width="11.140625" style="68" customWidth="1"/>
    <col min="3082" max="3083" width="10.7109375" style="68" customWidth="1"/>
    <col min="3084" max="3328" width="10.7109375" style="68"/>
    <col min="3329" max="3329" width="7.140625" style="68" customWidth="1"/>
    <col min="3330" max="3330" width="13.28515625" style="68" customWidth="1"/>
    <col min="3331" max="3331" width="15.28515625" style="68" customWidth="1"/>
    <col min="3332" max="3332" width="3.28515625" style="68" customWidth="1"/>
    <col min="3333" max="3333" width="13.7109375" style="68" customWidth="1"/>
    <col min="3334" max="3334" width="10.7109375" style="68" customWidth="1"/>
    <col min="3335" max="3335" width="6.28515625" style="68" customWidth="1"/>
    <col min="3336" max="3336" width="17.85546875" style="68" customWidth="1"/>
    <col min="3337" max="3337" width="11.140625" style="68" customWidth="1"/>
    <col min="3338" max="3339" width="10.7109375" style="68" customWidth="1"/>
    <col min="3340" max="3584" width="10.7109375" style="68"/>
    <col min="3585" max="3585" width="7.140625" style="68" customWidth="1"/>
    <col min="3586" max="3586" width="13.28515625" style="68" customWidth="1"/>
    <col min="3587" max="3587" width="15.28515625" style="68" customWidth="1"/>
    <col min="3588" max="3588" width="3.28515625" style="68" customWidth="1"/>
    <col min="3589" max="3589" width="13.7109375" style="68" customWidth="1"/>
    <col min="3590" max="3590" width="10.7109375" style="68" customWidth="1"/>
    <col min="3591" max="3591" width="6.28515625" style="68" customWidth="1"/>
    <col min="3592" max="3592" width="17.85546875" style="68" customWidth="1"/>
    <col min="3593" max="3593" width="11.140625" style="68" customWidth="1"/>
    <col min="3594" max="3595" width="10.7109375" style="68" customWidth="1"/>
    <col min="3596" max="3840" width="10.7109375" style="68"/>
    <col min="3841" max="3841" width="7.140625" style="68" customWidth="1"/>
    <col min="3842" max="3842" width="13.28515625" style="68" customWidth="1"/>
    <col min="3843" max="3843" width="15.28515625" style="68" customWidth="1"/>
    <col min="3844" max="3844" width="3.28515625" style="68" customWidth="1"/>
    <col min="3845" max="3845" width="13.7109375" style="68" customWidth="1"/>
    <col min="3846" max="3846" width="10.7109375" style="68" customWidth="1"/>
    <col min="3847" max="3847" width="6.28515625" style="68" customWidth="1"/>
    <col min="3848" max="3848" width="17.85546875" style="68" customWidth="1"/>
    <col min="3849" max="3849" width="11.140625" style="68" customWidth="1"/>
    <col min="3850" max="3851" width="10.7109375" style="68" customWidth="1"/>
    <col min="3852" max="4096" width="10.7109375" style="68"/>
    <col min="4097" max="4097" width="7.140625" style="68" customWidth="1"/>
    <col min="4098" max="4098" width="13.28515625" style="68" customWidth="1"/>
    <col min="4099" max="4099" width="15.28515625" style="68" customWidth="1"/>
    <col min="4100" max="4100" width="3.28515625" style="68" customWidth="1"/>
    <col min="4101" max="4101" width="13.7109375" style="68" customWidth="1"/>
    <col min="4102" max="4102" width="10.7109375" style="68" customWidth="1"/>
    <col min="4103" max="4103" width="6.28515625" style="68" customWidth="1"/>
    <col min="4104" max="4104" width="17.85546875" style="68" customWidth="1"/>
    <col min="4105" max="4105" width="11.140625" style="68" customWidth="1"/>
    <col min="4106" max="4107" width="10.7109375" style="68" customWidth="1"/>
    <col min="4108" max="4352" width="10.7109375" style="68"/>
    <col min="4353" max="4353" width="7.140625" style="68" customWidth="1"/>
    <col min="4354" max="4354" width="13.28515625" style="68" customWidth="1"/>
    <col min="4355" max="4355" width="15.28515625" style="68" customWidth="1"/>
    <col min="4356" max="4356" width="3.28515625" style="68" customWidth="1"/>
    <col min="4357" max="4357" width="13.7109375" style="68" customWidth="1"/>
    <col min="4358" max="4358" width="10.7109375" style="68" customWidth="1"/>
    <col min="4359" max="4359" width="6.28515625" style="68" customWidth="1"/>
    <col min="4360" max="4360" width="17.85546875" style="68" customWidth="1"/>
    <col min="4361" max="4361" width="11.140625" style="68" customWidth="1"/>
    <col min="4362" max="4363" width="10.7109375" style="68" customWidth="1"/>
    <col min="4364" max="4608" width="10.7109375" style="68"/>
    <col min="4609" max="4609" width="7.140625" style="68" customWidth="1"/>
    <col min="4610" max="4610" width="13.28515625" style="68" customWidth="1"/>
    <col min="4611" max="4611" width="15.28515625" style="68" customWidth="1"/>
    <col min="4612" max="4612" width="3.28515625" style="68" customWidth="1"/>
    <col min="4613" max="4613" width="13.7109375" style="68" customWidth="1"/>
    <col min="4614" max="4614" width="10.7109375" style="68" customWidth="1"/>
    <col min="4615" max="4615" width="6.28515625" style="68" customWidth="1"/>
    <col min="4616" max="4616" width="17.85546875" style="68" customWidth="1"/>
    <col min="4617" max="4617" width="11.140625" style="68" customWidth="1"/>
    <col min="4618" max="4619" width="10.7109375" style="68" customWidth="1"/>
    <col min="4620" max="4864" width="10.7109375" style="68"/>
    <col min="4865" max="4865" width="7.140625" style="68" customWidth="1"/>
    <col min="4866" max="4866" width="13.28515625" style="68" customWidth="1"/>
    <col min="4867" max="4867" width="15.28515625" style="68" customWidth="1"/>
    <col min="4868" max="4868" width="3.28515625" style="68" customWidth="1"/>
    <col min="4869" max="4869" width="13.7109375" style="68" customWidth="1"/>
    <col min="4870" max="4870" width="10.7109375" style="68" customWidth="1"/>
    <col min="4871" max="4871" width="6.28515625" style="68" customWidth="1"/>
    <col min="4872" max="4872" width="17.85546875" style="68" customWidth="1"/>
    <col min="4873" max="4873" width="11.140625" style="68" customWidth="1"/>
    <col min="4874" max="4875" width="10.7109375" style="68" customWidth="1"/>
    <col min="4876" max="5120" width="10.7109375" style="68"/>
    <col min="5121" max="5121" width="7.140625" style="68" customWidth="1"/>
    <col min="5122" max="5122" width="13.28515625" style="68" customWidth="1"/>
    <col min="5123" max="5123" width="15.28515625" style="68" customWidth="1"/>
    <col min="5124" max="5124" width="3.28515625" style="68" customWidth="1"/>
    <col min="5125" max="5125" width="13.7109375" style="68" customWidth="1"/>
    <col min="5126" max="5126" width="10.7109375" style="68" customWidth="1"/>
    <col min="5127" max="5127" width="6.28515625" style="68" customWidth="1"/>
    <col min="5128" max="5128" width="17.85546875" style="68" customWidth="1"/>
    <col min="5129" max="5129" width="11.140625" style="68" customWidth="1"/>
    <col min="5130" max="5131" width="10.7109375" style="68" customWidth="1"/>
    <col min="5132" max="5376" width="10.7109375" style="68"/>
    <col min="5377" max="5377" width="7.140625" style="68" customWidth="1"/>
    <col min="5378" max="5378" width="13.28515625" style="68" customWidth="1"/>
    <col min="5379" max="5379" width="15.28515625" style="68" customWidth="1"/>
    <col min="5380" max="5380" width="3.28515625" style="68" customWidth="1"/>
    <col min="5381" max="5381" width="13.7109375" style="68" customWidth="1"/>
    <col min="5382" max="5382" width="10.7109375" style="68" customWidth="1"/>
    <col min="5383" max="5383" width="6.28515625" style="68" customWidth="1"/>
    <col min="5384" max="5384" width="17.85546875" style="68" customWidth="1"/>
    <col min="5385" max="5385" width="11.140625" style="68" customWidth="1"/>
    <col min="5386" max="5387" width="10.7109375" style="68" customWidth="1"/>
    <col min="5388" max="5632" width="10.7109375" style="68"/>
    <col min="5633" max="5633" width="7.140625" style="68" customWidth="1"/>
    <col min="5634" max="5634" width="13.28515625" style="68" customWidth="1"/>
    <col min="5635" max="5635" width="15.28515625" style="68" customWidth="1"/>
    <col min="5636" max="5636" width="3.28515625" style="68" customWidth="1"/>
    <col min="5637" max="5637" width="13.7109375" style="68" customWidth="1"/>
    <col min="5638" max="5638" width="10.7109375" style="68" customWidth="1"/>
    <col min="5639" max="5639" width="6.28515625" style="68" customWidth="1"/>
    <col min="5640" max="5640" width="17.85546875" style="68" customWidth="1"/>
    <col min="5641" max="5641" width="11.140625" style="68" customWidth="1"/>
    <col min="5642" max="5643" width="10.7109375" style="68" customWidth="1"/>
    <col min="5644" max="5888" width="10.7109375" style="68"/>
    <col min="5889" max="5889" width="7.140625" style="68" customWidth="1"/>
    <col min="5890" max="5890" width="13.28515625" style="68" customWidth="1"/>
    <col min="5891" max="5891" width="15.28515625" style="68" customWidth="1"/>
    <col min="5892" max="5892" width="3.28515625" style="68" customWidth="1"/>
    <col min="5893" max="5893" width="13.7109375" style="68" customWidth="1"/>
    <col min="5894" max="5894" width="10.7109375" style="68" customWidth="1"/>
    <col min="5895" max="5895" width="6.28515625" style="68" customWidth="1"/>
    <col min="5896" max="5896" width="17.85546875" style="68" customWidth="1"/>
    <col min="5897" max="5897" width="11.140625" style="68" customWidth="1"/>
    <col min="5898" max="5899" width="10.7109375" style="68" customWidth="1"/>
    <col min="5900" max="6144" width="10.7109375" style="68"/>
    <col min="6145" max="6145" width="7.140625" style="68" customWidth="1"/>
    <col min="6146" max="6146" width="13.28515625" style="68" customWidth="1"/>
    <col min="6147" max="6147" width="15.28515625" style="68" customWidth="1"/>
    <col min="6148" max="6148" width="3.28515625" style="68" customWidth="1"/>
    <col min="6149" max="6149" width="13.7109375" style="68" customWidth="1"/>
    <col min="6150" max="6150" width="10.7109375" style="68" customWidth="1"/>
    <col min="6151" max="6151" width="6.28515625" style="68" customWidth="1"/>
    <col min="6152" max="6152" width="17.85546875" style="68" customWidth="1"/>
    <col min="6153" max="6153" width="11.140625" style="68" customWidth="1"/>
    <col min="6154" max="6155" width="10.7109375" style="68" customWidth="1"/>
    <col min="6156" max="6400" width="10.7109375" style="68"/>
    <col min="6401" max="6401" width="7.140625" style="68" customWidth="1"/>
    <col min="6402" max="6402" width="13.28515625" style="68" customWidth="1"/>
    <col min="6403" max="6403" width="15.28515625" style="68" customWidth="1"/>
    <col min="6404" max="6404" width="3.28515625" style="68" customWidth="1"/>
    <col min="6405" max="6405" width="13.7109375" style="68" customWidth="1"/>
    <col min="6406" max="6406" width="10.7109375" style="68" customWidth="1"/>
    <col min="6407" max="6407" width="6.28515625" style="68" customWidth="1"/>
    <col min="6408" max="6408" width="17.85546875" style="68" customWidth="1"/>
    <col min="6409" max="6409" width="11.140625" style="68" customWidth="1"/>
    <col min="6410" max="6411" width="10.7109375" style="68" customWidth="1"/>
    <col min="6412" max="6656" width="10.7109375" style="68"/>
    <col min="6657" max="6657" width="7.140625" style="68" customWidth="1"/>
    <col min="6658" max="6658" width="13.28515625" style="68" customWidth="1"/>
    <col min="6659" max="6659" width="15.28515625" style="68" customWidth="1"/>
    <col min="6660" max="6660" width="3.28515625" style="68" customWidth="1"/>
    <col min="6661" max="6661" width="13.7109375" style="68" customWidth="1"/>
    <col min="6662" max="6662" width="10.7109375" style="68" customWidth="1"/>
    <col min="6663" max="6663" width="6.28515625" style="68" customWidth="1"/>
    <col min="6664" max="6664" width="17.85546875" style="68" customWidth="1"/>
    <col min="6665" max="6665" width="11.140625" style="68" customWidth="1"/>
    <col min="6666" max="6667" width="10.7109375" style="68" customWidth="1"/>
    <col min="6668" max="6912" width="10.7109375" style="68"/>
    <col min="6913" max="6913" width="7.140625" style="68" customWidth="1"/>
    <col min="6914" max="6914" width="13.28515625" style="68" customWidth="1"/>
    <col min="6915" max="6915" width="15.28515625" style="68" customWidth="1"/>
    <col min="6916" max="6916" width="3.28515625" style="68" customWidth="1"/>
    <col min="6917" max="6917" width="13.7109375" style="68" customWidth="1"/>
    <col min="6918" max="6918" width="10.7109375" style="68" customWidth="1"/>
    <col min="6919" max="6919" width="6.28515625" style="68" customWidth="1"/>
    <col min="6920" max="6920" width="17.85546875" style="68" customWidth="1"/>
    <col min="6921" max="6921" width="11.140625" style="68" customWidth="1"/>
    <col min="6922" max="6923" width="10.7109375" style="68" customWidth="1"/>
    <col min="6924" max="7168" width="10.7109375" style="68"/>
    <col min="7169" max="7169" width="7.140625" style="68" customWidth="1"/>
    <col min="7170" max="7170" width="13.28515625" style="68" customWidth="1"/>
    <col min="7171" max="7171" width="15.28515625" style="68" customWidth="1"/>
    <col min="7172" max="7172" width="3.28515625" style="68" customWidth="1"/>
    <col min="7173" max="7173" width="13.7109375" style="68" customWidth="1"/>
    <col min="7174" max="7174" width="10.7109375" style="68" customWidth="1"/>
    <col min="7175" max="7175" width="6.28515625" style="68" customWidth="1"/>
    <col min="7176" max="7176" width="17.85546875" style="68" customWidth="1"/>
    <col min="7177" max="7177" width="11.140625" style="68" customWidth="1"/>
    <col min="7178" max="7179" width="10.7109375" style="68" customWidth="1"/>
    <col min="7180" max="7424" width="10.7109375" style="68"/>
    <col min="7425" max="7425" width="7.140625" style="68" customWidth="1"/>
    <col min="7426" max="7426" width="13.28515625" style="68" customWidth="1"/>
    <col min="7427" max="7427" width="15.28515625" style="68" customWidth="1"/>
    <col min="7428" max="7428" width="3.28515625" style="68" customWidth="1"/>
    <col min="7429" max="7429" width="13.7109375" style="68" customWidth="1"/>
    <col min="7430" max="7430" width="10.7109375" style="68" customWidth="1"/>
    <col min="7431" max="7431" width="6.28515625" style="68" customWidth="1"/>
    <col min="7432" max="7432" width="17.85546875" style="68" customWidth="1"/>
    <col min="7433" max="7433" width="11.140625" style="68" customWidth="1"/>
    <col min="7434" max="7435" width="10.7109375" style="68" customWidth="1"/>
    <col min="7436" max="7680" width="10.7109375" style="68"/>
    <col min="7681" max="7681" width="7.140625" style="68" customWidth="1"/>
    <col min="7682" max="7682" width="13.28515625" style="68" customWidth="1"/>
    <col min="7683" max="7683" width="15.28515625" style="68" customWidth="1"/>
    <col min="7684" max="7684" width="3.28515625" style="68" customWidth="1"/>
    <col min="7685" max="7685" width="13.7109375" style="68" customWidth="1"/>
    <col min="7686" max="7686" width="10.7109375" style="68" customWidth="1"/>
    <col min="7687" max="7687" width="6.28515625" style="68" customWidth="1"/>
    <col min="7688" max="7688" width="17.85546875" style="68" customWidth="1"/>
    <col min="7689" max="7689" width="11.140625" style="68" customWidth="1"/>
    <col min="7690" max="7691" width="10.7109375" style="68" customWidth="1"/>
    <col min="7692" max="7936" width="10.7109375" style="68"/>
    <col min="7937" max="7937" width="7.140625" style="68" customWidth="1"/>
    <col min="7938" max="7938" width="13.28515625" style="68" customWidth="1"/>
    <col min="7939" max="7939" width="15.28515625" style="68" customWidth="1"/>
    <col min="7940" max="7940" width="3.28515625" style="68" customWidth="1"/>
    <col min="7941" max="7941" width="13.7109375" style="68" customWidth="1"/>
    <col min="7942" max="7942" width="10.7109375" style="68" customWidth="1"/>
    <col min="7943" max="7943" width="6.28515625" style="68" customWidth="1"/>
    <col min="7944" max="7944" width="17.85546875" style="68" customWidth="1"/>
    <col min="7945" max="7945" width="11.140625" style="68" customWidth="1"/>
    <col min="7946" max="7947" width="10.7109375" style="68" customWidth="1"/>
    <col min="7948" max="8192" width="10.7109375" style="68"/>
    <col min="8193" max="8193" width="7.140625" style="68" customWidth="1"/>
    <col min="8194" max="8194" width="13.28515625" style="68" customWidth="1"/>
    <col min="8195" max="8195" width="15.28515625" style="68" customWidth="1"/>
    <col min="8196" max="8196" width="3.28515625" style="68" customWidth="1"/>
    <col min="8197" max="8197" width="13.7109375" style="68" customWidth="1"/>
    <col min="8198" max="8198" width="10.7109375" style="68" customWidth="1"/>
    <col min="8199" max="8199" width="6.28515625" style="68" customWidth="1"/>
    <col min="8200" max="8200" width="17.85546875" style="68" customWidth="1"/>
    <col min="8201" max="8201" width="11.140625" style="68" customWidth="1"/>
    <col min="8202" max="8203" width="10.7109375" style="68" customWidth="1"/>
    <col min="8204" max="8448" width="10.7109375" style="68"/>
    <col min="8449" max="8449" width="7.140625" style="68" customWidth="1"/>
    <col min="8450" max="8450" width="13.28515625" style="68" customWidth="1"/>
    <col min="8451" max="8451" width="15.28515625" style="68" customWidth="1"/>
    <col min="8452" max="8452" width="3.28515625" style="68" customWidth="1"/>
    <col min="8453" max="8453" width="13.7109375" style="68" customWidth="1"/>
    <col min="8454" max="8454" width="10.7109375" style="68" customWidth="1"/>
    <col min="8455" max="8455" width="6.28515625" style="68" customWidth="1"/>
    <col min="8456" max="8456" width="17.85546875" style="68" customWidth="1"/>
    <col min="8457" max="8457" width="11.140625" style="68" customWidth="1"/>
    <col min="8458" max="8459" width="10.7109375" style="68" customWidth="1"/>
    <col min="8460" max="8704" width="10.7109375" style="68"/>
    <col min="8705" max="8705" width="7.140625" style="68" customWidth="1"/>
    <col min="8706" max="8706" width="13.28515625" style="68" customWidth="1"/>
    <col min="8707" max="8707" width="15.28515625" style="68" customWidth="1"/>
    <col min="8708" max="8708" width="3.28515625" style="68" customWidth="1"/>
    <col min="8709" max="8709" width="13.7109375" style="68" customWidth="1"/>
    <col min="8710" max="8710" width="10.7109375" style="68" customWidth="1"/>
    <col min="8711" max="8711" width="6.28515625" style="68" customWidth="1"/>
    <col min="8712" max="8712" width="17.85546875" style="68" customWidth="1"/>
    <col min="8713" max="8713" width="11.140625" style="68" customWidth="1"/>
    <col min="8714" max="8715" width="10.7109375" style="68" customWidth="1"/>
    <col min="8716" max="8960" width="10.7109375" style="68"/>
    <col min="8961" max="8961" width="7.140625" style="68" customWidth="1"/>
    <col min="8962" max="8962" width="13.28515625" style="68" customWidth="1"/>
    <col min="8963" max="8963" width="15.28515625" style="68" customWidth="1"/>
    <col min="8964" max="8964" width="3.28515625" style="68" customWidth="1"/>
    <col min="8965" max="8965" width="13.7109375" style="68" customWidth="1"/>
    <col min="8966" max="8966" width="10.7109375" style="68" customWidth="1"/>
    <col min="8967" max="8967" width="6.28515625" style="68" customWidth="1"/>
    <col min="8968" max="8968" width="17.85546875" style="68" customWidth="1"/>
    <col min="8969" max="8969" width="11.140625" style="68" customWidth="1"/>
    <col min="8970" max="8971" width="10.7109375" style="68" customWidth="1"/>
    <col min="8972" max="9216" width="10.7109375" style="68"/>
    <col min="9217" max="9217" width="7.140625" style="68" customWidth="1"/>
    <col min="9218" max="9218" width="13.28515625" style="68" customWidth="1"/>
    <col min="9219" max="9219" width="15.28515625" style="68" customWidth="1"/>
    <col min="9220" max="9220" width="3.28515625" style="68" customWidth="1"/>
    <col min="9221" max="9221" width="13.7109375" style="68" customWidth="1"/>
    <col min="9222" max="9222" width="10.7109375" style="68" customWidth="1"/>
    <col min="9223" max="9223" width="6.28515625" style="68" customWidth="1"/>
    <col min="9224" max="9224" width="17.85546875" style="68" customWidth="1"/>
    <col min="9225" max="9225" width="11.140625" style="68" customWidth="1"/>
    <col min="9226" max="9227" width="10.7109375" style="68" customWidth="1"/>
    <col min="9228" max="9472" width="10.7109375" style="68"/>
    <col min="9473" max="9473" width="7.140625" style="68" customWidth="1"/>
    <col min="9474" max="9474" width="13.28515625" style="68" customWidth="1"/>
    <col min="9475" max="9475" width="15.28515625" style="68" customWidth="1"/>
    <col min="9476" max="9476" width="3.28515625" style="68" customWidth="1"/>
    <col min="9477" max="9477" width="13.7109375" style="68" customWidth="1"/>
    <col min="9478" max="9478" width="10.7109375" style="68" customWidth="1"/>
    <col min="9479" max="9479" width="6.28515625" style="68" customWidth="1"/>
    <col min="9480" max="9480" width="17.85546875" style="68" customWidth="1"/>
    <col min="9481" max="9481" width="11.140625" style="68" customWidth="1"/>
    <col min="9482" max="9483" width="10.7109375" style="68" customWidth="1"/>
    <col min="9484" max="9728" width="10.7109375" style="68"/>
    <col min="9729" max="9729" width="7.140625" style="68" customWidth="1"/>
    <col min="9730" max="9730" width="13.28515625" style="68" customWidth="1"/>
    <col min="9731" max="9731" width="15.28515625" style="68" customWidth="1"/>
    <col min="9732" max="9732" width="3.28515625" style="68" customWidth="1"/>
    <col min="9733" max="9733" width="13.7109375" style="68" customWidth="1"/>
    <col min="9734" max="9734" width="10.7109375" style="68" customWidth="1"/>
    <col min="9735" max="9735" width="6.28515625" style="68" customWidth="1"/>
    <col min="9736" max="9736" width="17.85546875" style="68" customWidth="1"/>
    <col min="9737" max="9737" width="11.140625" style="68" customWidth="1"/>
    <col min="9738" max="9739" width="10.7109375" style="68" customWidth="1"/>
    <col min="9740" max="9984" width="10.7109375" style="68"/>
    <col min="9985" max="9985" width="7.140625" style="68" customWidth="1"/>
    <col min="9986" max="9986" width="13.28515625" style="68" customWidth="1"/>
    <col min="9987" max="9987" width="15.28515625" style="68" customWidth="1"/>
    <col min="9988" max="9988" width="3.28515625" style="68" customWidth="1"/>
    <col min="9989" max="9989" width="13.7109375" style="68" customWidth="1"/>
    <col min="9990" max="9990" width="10.7109375" style="68" customWidth="1"/>
    <col min="9991" max="9991" width="6.28515625" style="68" customWidth="1"/>
    <col min="9992" max="9992" width="17.85546875" style="68" customWidth="1"/>
    <col min="9993" max="9993" width="11.140625" style="68" customWidth="1"/>
    <col min="9994" max="9995" width="10.7109375" style="68" customWidth="1"/>
    <col min="9996" max="10240" width="10.7109375" style="68"/>
    <col min="10241" max="10241" width="7.140625" style="68" customWidth="1"/>
    <col min="10242" max="10242" width="13.28515625" style="68" customWidth="1"/>
    <col min="10243" max="10243" width="15.28515625" style="68" customWidth="1"/>
    <col min="10244" max="10244" width="3.28515625" style="68" customWidth="1"/>
    <col min="10245" max="10245" width="13.7109375" style="68" customWidth="1"/>
    <col min="10246" max="10246" width="10.7109375" style="68" customWidth="1"/>
    <col min="10247" max="10247" width="6.28515625" style="68" customWidth="1"/>
    <col min="10248" max="10248" width="17.85546875" style="68" customWidth="1"/>
    <col min="10249" max="10249" width="11.140625" style="68" customWidth="1"/>
    <col min="10250" max="10251" width="10.7109375" style="68" customWidth="1"/>
    <col min="10252" max="10496" width="10.7109375" style="68"/>
    <col min="10497" max="10497" width="7.140625" style="68" customWidth="1"/>
    <col min="10498" max="10498" width="13.28515625" style="68" customWidth="1"/>
    <col min="10499" max="10499" width="15.28515625" style="68" customWidth="1"/>
    <col min="10500" max="10500" width="3.28515625" style="68" customWidth="1"/>
    <col min="10501" max="10501" width="13.7109375" style="68" customWidth="1"/>
    <col min="10502" max="10502" width="10.7109375" style="68" customWidth="1"/>
    <col min="10503" max="10503" width="6.28515625" style="68" customWidth="1"/>
    <col min="10504" max="10504" width="17.85546875" style="68" customWidth="1"/>
    <col min="10505" max="10505" width="11.140625" style="68" customWidth="1"/>
    <col min="10506" max="10507" width="10.7109375" style="68" customWidth="1"/>
    <col min="10508" max="10752" width="10.7109375" style="68"/>
    <col min="10753" max="10753" width="7.140625" style="68" customWidth="1"/>
    <col min="10754" max="10754" width="13.28515625" style="68" customWidth="1"/>
    <col min="10755" max="10755" width="15.28515625" style="68" customWidth="1"/>
    <col min="10756" max="10756" width="3.28515625" style="68" customWidth="1"/>
    <col min="10757" max="10757" width="13.7109375" style="68" customWidth="1"/>
    <col min="10758" max="10758" width="10.7109375" style="68" customWidth="1"/>
    <col min="10759" max="10759" width="6.28515625" style="68" customWidth="1"/>
    <col min="10760" max="10760" width="17.85546875" style="68" customWidth="1"/>
    <col min="10761" max="10761" width="11.140625" style="68" customWidth="1"/>
    <col min="10762" max="10763" width="10.7109375" style="68" customWidth="1"/>
    <col min="10764" max="11008" width="10.7109375" style="68"/>
    <col min="11009" max="11009" width="7.140625" style="68" customWidth="1"/>
    <col min="11010" max="11010" width="13.28515625" style="68" customWidth="1"/>
    <col min="11011" max="11011" width="15.28515625" style="68" customWidth="1"/>
    <col min="11012" max="11012" width="3.28515625" style="68" customWidth="1"/>
    <col min="11013" max="11013" width="13.7109375" style="68" customWidth="1"/>
    <col min="11014" max="11014" width="10.7109375" style="68" customWidth="1"/>
    <col min="11015" max="11015" width="6.28515625" style="68" customWidth="1"/>
    <col min="11016" max="11016" width="17.85546875" style="68" customWidth="1"/>
    <col min="11017" max="11017" width="11.140625" style="68" customWidth="1"/>
    <col min="11018" max="11019" width="10.7109375" style="68" customWidth="1"/>
    <col min="11020" max="11264" width="10.7109375" style="68"/>
    <col min="11265" max="11265" width="7.140625" style="68" customWidth="1"/>
    <col min="11266" max="11266" width="13.28515625" style="68" customWidth="1"/>
    <col min="11267" max="11267" width="15.28515625" style="68" customWidth="1"/>
    <col min="11268" max="11268" width="3.28515625" style="68" customWidth="1"/>
    <col min="11269" max="11269" width="13.7109375" style="68" customWidth="1"/>
    <col min="11270" max="11270" width="10.7109375" style="68" customWidth="1"/>
    <col min="11271" max="11271" width="6.28515625" style="68" customWidth="1"/>
    <col min="11272" max="11272" width="17.85546875" style="68" customWidth="1"/>
    <col min="11273" max="11273" width="11.140625" style="68" customWidth="1"/>
    <col min="11274" max="11275" width="10.7109375" style="68" customWidth="1"/>
    <col min="11276" max="11520" width="10.7109375" style="68"/>
    <col min="11521" max="11521" width="7.140625" style="68" customWidth="1"/>
    <col min="11522" max="11522" width="13.28515625" style="68" customWidth="1"/>
    <col min="11523" max="11523" width="15.28515625" style="68" customWidth="1"/>
    <col min="11524" max="11524" width="3.28515625" style="68" customWidth="1"/>
    <col min="11525" max="11525" width="13.7109375" style="68" customWidth="1"/>
    <col min="11526" max="11526" width="10.7109375" style="68" customWidth="1"/>
    <col min="11527" max="11527" width="6.28515625" style="68" customWidth="1"/>
    <col min="11528" max="11528" width="17.85546875" style="68" customWidth="1"/>
    <col min="11529" max="11529" width="11.140625" style="68" customWidth="1"/>
    <col min="11530" max="11531" width="10.7109375" style="68" customWidth="1"/>
    <col min="11532" max="11776" width="10.7109375" style="68"/>
    <col min="11777" max="11777" width="7.140625" style="68" customWidth="1"/>
    <col min="11778" max="11778" width="13.28515625" style="68" customWidth="1"/>
    <col min="11779" max="11779" width="15.28515625" style="68" customWidth="1"/>
    <col min="11780" max="11780" width="3.28515625" style="68" customWidth="1"/>
    <col min="11781" max="11781" width="13.7109375" style="68" customWidth="1"/>
    <col min="11782" max="11782" width="10.7109375" style="68" customWidth="1"/>
    <col min="11783" max="11783" width="6.28515625" style="68" customWidth="1"/>
    <col min="11784" max="11784" width="17.85546875" style="68" customWidth="1"/>
    <col min="11785" max="11785" width="11.140625" style="68" customWidth="1"/>
    <col min="11786" max="11787" width="10.7109375" style="68" customWidth="1"/>
    <col min="11788" max="12032" width="10.7109375" style="68"/>
    <col min="12033" max="12033" width="7.140625" style="68" customWidth="1"/>
    <col min="12034" max="12034" width="13.28515625" style="68" customWidth="1"/>
    <col min="12035" max="12035" width="15.28515625" style="68" customWidth="1"/>
    <col min="12036" max="12036" width="3.28515625" style="68" customWidth="1"/>
    <col min="12037" max="12037" width="13.7109375" style="68" customWidth="1"/>
    <col min="12038" max="12038" width="10.7109375" style="68" customWidth="1"/>
    <col min="12039" max="12039" width="6.28515625" style="68" customWidth="1"/>
    <col min="12040" max="12040" width="17.85546875" style="68" customWidth="1"/>
    <col min="12041" max="12041" width="11.140625" style="68" customWidth="1"/>
    <col min="12042" max="12043" width="10.7109375" style="68" customWidth="1"/>
    <col min="12044" max="12288" width="10.7109375" style="68"/>
    <col min="12289" max="12289" width="7.140625" style="68" customWidth="1"/>
    <col min="12290" max="12290" width="13.28515625" style="68" customWidth="1"/>
    <col min="12291" max="12291" width="15.28515625" style="68" customWidth="1"/>
    <col min="12292" max="12292" width="3.28515625" style="68" customWidth="1"/>
    <col min="12293" max="12293" width="13.7109375" style="68" customWidth="1"/>
    <col min="12294" max="12294" width="10.7109375" style="68" customWidth="1"/>
    <col min="12295" max="12295" width="6.28515625" style="68" customWidth="1"/>
    <col min="12296" max="12296" width="17.85546875" style="68" customWidth="1"/>
    <col min="12297" max="12297" width="11.140625" style="68" customWidth="1"/>
    <col min="12298" max="12299" width="10.7109375" style="68" customWidth="1"/>
    <col min="12300" max="12544" width="10.7109375" style="68"/>
    <col min="12545" max="12545" width="7.140625" style="68" customWidth="1"/>
    <col min="12546" max="12546" width="13.28515625" style="68" customWidth="1"/>
    <col min="12547" max="12547" width="15.28515625" style="68" customWidth="1"/>
    <col min="12548" max="12548" width="3.28515625" style="68" customWidth="1"/>
    <col min="12549" max="12549" width="13.7109375" style="68" customWidth="1"/>
    <col min="12550" max="12550" width="10.7109375" style="68" customWidth="1"/>
    <col min="12551" max="12551" width="6.28515625" style="68" customWidth="1"/>
    <col min="12552" max="12552" width="17.85546875" style="68" customWidth="1"/>
    <col min="12553" max="12553" width="11.140625" style="68" customWidth="1"/>
    <col min="12554" max="12555" width="10.7109375" style="68" customWidth="1"/>
    <col min="12556" max="12800" width="10.7109375" style="68"/>
    <col min="12801" max="12801" width="7.140625" style="68" customWidth="1"/>
    <col min="12802" max="12802" width="13.28515625" style="68" customWidth="1"/>
    <col min="12803" max="12803" width="15.28515625" style="68" customWidth="1"/>
    <col min="12804" max="12804" width="3.28515625" style="68" customWidth="1"/>
    <col min="12805" max="12805" width="13.7109375" style="68" customWidth="1"/>
    <col min="12806" max="12806" width="10.7109375" style="68" customWidth="1"/>
    <col min="12807" max="12807" width="6.28515625" style="68" customWidth="1"/>
    <col min="12808" max="12808" width="17.85546875" style="68" customWidth="1"/>
    <col min="12809" max="12809" width="11.140625" style="68" customWidth="1"/>
    <col min="12810" max="12811" width="10.7109375" style="68" customWidth="1"/>
    <col min="12812" max="13056" width="10.7109375" style="68"/>
    <col min="13057" max="13057" width="7.140625" style="68" customWidth="1"/>
    <col min="13058" max="13058" width="13.28515625" style="68" customWidth="1"/>
    <col min="13059" max="13059" width="15.28515625" style="68" customWidth="1"/>
    <col min="13060" max="13060" width="3.28515625" style="68" customWidth="1"/>
    <col min="13061" max="13061" width="13.7109375" style="68" customWidth="1"/>
    <col min="13062" max="13062" width="10.7109375" style="68" customWidth="1"/>
    <col min="13063" max="13063" width="6.28515625" style="68" customWidth="1"/>
    <col min="13064" max="13064" width="17.85546875" style="68" customWidth="1"/>
    <col min="13065" max="13065" width="11.140625" style="68" customWidth="1"/>
    <col min="13066" max="13067" width="10.7109375" style="68" customWidth="1"/>
    <col min="13068" max="13312" width="10.7109375" style="68"/>
    <col min="13313" max="13313" width="7.140625" style="68" customWidth="1"/>
    <col min="13314" max="13314" width="13.28515625" style="68" customWidth="1"/>
    <col min="13315" max="13315" width="15.28515625" style="68" customWidth="1"/>
    <col min="13316" max="13316" width="3.28515625" style="68" customWidth="1"/>
    <col min="13317" max="13317" width="13.7109375" style="68" customWidth="1"/>
    <col min="13318" max="13318" width="10.7109375" style="68" customWidth="1"/>
    <col min="13319" max="13319" width="6.28515625" style="68" customWidth="1"/>
    <col min="13320" max="13320" width="17.85546875" style="68" customWidth="1"/>
    <col min="13321" max="13321" width="11.140625" style="68" customWidth="1"/>
    <col min="13322" max="13323" width="10.7109375" style="68" customWidth="1"/>
    <col min="13324" max="13568" width="10.7109375" style="68"/>
    <col min="13569" max="13569" width="7.140625" style="68" customWidth="1"/>
    <col min="13570" max="13570" width="13.28515625" style="68" customWidth="1"/>
    <col min="13571" max="13571" width="15.28515625" style="68" customWidth="1"/>
    <col min="13572" max="13572" width="3.28515625" style="68" customWidth="1"/>
    <col min="13573" max="13573" width="13.7109375" style="68" customWidth="1"/>
    <col min="13574" max="13574" width="10.7109375" style="68" customWidth="1"/>
    <col min="13575" max="13575" width="6.28515625" style="68" customWidth="1"/>
    <col min="13576" max="13576" width="17.85546875" style="68" customWidth="1"/>
    <col min="13577" max="13577" width="11.140625" style="68" customWidth="1"/>
    <col min="13578" max="13579" width="10.7109375" style="68" customWidth="1"/>
    <col min="13580" max="13824" width="10.7109375" style="68"/>
    <col min="13825" max="13825" width="7.140625" style="68" customWidth="1"/>
    <col min="13826" max="13826" width="13.28515625" style="68" customWidth="1"/>
    <col min="13827" max="13827" width="15.28515625" style="68" customWidth="1"/>
    <col min="13828" max="13828" width="3.28515625" style="68" customWidth="1"/>
    <col min="13829" max="13829" width="13.7109375" style="68" customWidth="1"/>
    <col min="13830" max="13830" width="10.7109375" style="68" customWidth="1"/>
    <col min="13831" max="13831" width="6.28515625" style="68" customWidth="1"/>
    <col min="13832" max="13832" width="17.85546875" style="68" customWidth="1"/>
    <col min="13833" max="13833" width="11.140625" style="68" customWidth="1"/>
    <col min="13834" max="13835" width="10.7109375" style="68" customWidth="1"/>
    <col min="13836" max="14080" width="10.7109375" style="68"/>
    <col min="14081" max="14081" width="7.140625" style="68" customWidth="1"/>
    <col min="14082" max="14082" width="13.28515625" style="68" customWidth="1"/>
    <col min="14083" max="14083" width="15.28515625" style="68" customWidth="1"/>
    <col min="14084" max="14084" width="3.28515625" style="68" customWidth="1"/>
    <col min="14085" max="14085" width="13.7109375" style="68" customWidth="1"/>
    <col min="14086" max="14086" width="10.7109375" style="68" customWidth="1"/>
    <col min="14087" max="14087" width="6.28515625" style="68" customWidth="1"/>
    <col min="14088" max="14088" width="17.85546875" style="68" customWidth="1"/>
    <col min="14089" max="14089" width="11.140625" style="68" customWidth="1"/>
    <col min="14090" max="14091" width="10.7109375" style="68" customWidth="1"/>
    <col min="14092" max="14336" width="10.7109375" style="68"/>
    <col min="14337" max="14337" width="7.140625" style="68" customWidth="1"/>
    <col min="14338" max="14338" width="13.28515625" style="68" customWidth="1"/>
    <col min="14339" max="14339" width="15.28515625" style="68" customWidth="1"/>
    <col min="14340" max="14340" width="3.28515625" style="68" customWidth="1"/>
    <col min="14341" max="14341" width="13.7109375" style="68" customWidth="1"/>
    <col min="14342" max="14342" width="10.7109375" style="68" customWidth="1"/>
    <col min="14343" max="14343" width="6.28515625" style="68" customWidth="1"/>
    <col min="14344" max="14344" width="17.85546875" style="68" customWidth="1"/>
    <col min="14345" max="14345" width="11.140625" style="68" customWidth="1"/>
    <col min="14346" max="14347" width="10.7109375" style="68" customWidth="1"/>
    <col min="14348" max="14592" width="10.7109375" style="68"/>
    <col min="14593" max="14593" width="7.140625" style="68" customWidth="1"/>
    <col min="14594" max="14594" width="13.28515625" style="68" customWidth="1"/>
    <col min="14595" max="14595" width="15.28515625" style="68" customWidth="1"/>
    <col min="14596" max="14596" width="3.28515625" style="68" customWidth="1"/>
    <col min="14597" max="14597" width="13.7109375" style="68" customWidth="1"/>
    <col min="14598" max="14598" width="10.7109375" style="68" customWidth="1"/>
    <col min="14599" max="14599" width="6.28515625" style="68" customWidth="1"/>
    <col min="14600" max="14600" width="17.85546875" style="68" customWidth="1"/>
    <col min="14601" max="14601" width="11.140625" style="68" customWidth="1"/>
    <col min="14602" max="14603" width="10.7109375" style="68" customWidth="1"/>
    <col min="14604" max="14848" width="10.7109375" style="68"/>
    <col min="14849" max="14849" width="7.140625" style="68" customWidth="1"/>
    <col min="14850" max="14850" width="13.28515625" style="68" customWidth="1"/>
    <col min="14851" max="14851" width="15.28515625" style="68" customWidth="1"/>
    <col min="14852" max="14852" width="3.28515625" style="68" customWidth="1"/>
    <col min="14853" max="14853" width="13.7109375" style="68" customWidth="1"/>
    <col min="14854" max="14854" width="10.7109375" style="68" customWidth="1"/>
    <col min="14855" max="14855" width="6.28515625" style="68" customWidth="1"/>
    <col min="14856" max="14856" width="17.85546875" style="68" customWidth="1"/>
    <col min="14857" max="14857" width="11.140625" style="68" customWidth="1"/>
    <col min="14858" max="14859" width="10.7109375" style="68" customWidth="1"/>
    <col min="14860" max="15104" width="10.7109375" style="68"/>
    <col min="15105" max="15105" width="7.140625" style="68" customWidth="1"/>
    <col min="15106" max="15106" width="13.28515625" style="68" customWidth="1"/>
    <col min="15107" max="15107" width="15.28515625" style="68" customWidth="1"/>
    <col min="15108" max="15108" width="3.28515625" style="68" customWidth="1"/>
    <col min="15109" max="15109" width="13.7109375" style="68" customWidth="1"/>
    <col min="15110" max="15110" width="10.7109375" style="68" customWidth="1"/>
    <col min="15111" max="15111" width="6.28515625" style="68" customWidth="1"/>
    <col min="15112" max="15112" width="17.85546875" style="68" customWidth="1"/>
    <col min="15113" max="15113" width="11.140625" style="68" customWidth="1"/>
    <col min="15114" max="15115" width="10.7109375" style="68" customWidth="1"/>
    <col min="15116" max="15360" width="10.7109375" style="68"/>
    <col min="15361" max="15361" width="7.140625" style="68" customWidth="1"/>
    <col min="15362" max="15362" width="13.28515625" style="68" customWidth="1"/>
    <col min="15363" max="15363" width="15.28515625" style="68" customWidth="1"/>
    <col min="15364" max="15364" width="3.28515625" style="68" customWidth="1"/>
    <col min="15365" max="15365" width="13.7109375" style="68" customWidth="1"/>
    <col min="15366" max="15366" width="10.7109375" style="68" customWidth="1"/>
    <col min="15367" max="15367" width="6.28515625" style="68" customWidth="1"/>
    <col min="15368" max="15368" width="17.85546875" style="68" customWidth="1"/>
    <col min="15369" max="15369" width="11.140625" style="68" customWidth="1"/>
    <col min="15370" max="15371" width="10.7109375" style="68" customWidth="1"/>
    <col min="15372" max="15616" width="10.7109375" style="68"/>
    <col min="15617" max="15617" width="7.140625" style="68" customWidth="1"/>
    <col min="15618" max="15618" width="13.28515625" style="68" customWidth="1"/>
    <col min="15619" max="15619" width="15.28515625" style="68" customWidth="1"/>
    <col min="15620" max="15620" width="3.28515625" style="68" customWidth="1"/>
    <col min="15621" max="15621" width="13.7109375" style="68" customWidth="1"/>
    <col min="15622" max="15622" width="10.7109375" style="68" customWidth="1"/>
    <col min="15623" max="15623" width="6.28515625" style="68" customWidth="1"/>
    <col min="15624" max="15624" width="17.85546875" style="68" customWidth="1"/>
    <col min="15625" max="15625" width="11.140625" style="68" customWidth="1"/>
    <col min="15626" max="15627" width="10.7109375" style="68" customWidth="1"/>
    <col min="15628" max="15872" width="10.7109375" style="68"/>
    <col min="15873" max="15873" width="7.140625" style="68" customWidth="1"/>
    <col min="15874" max="15874" width="13.28515625" style="68" customWidth="1"/>
    <col min="15875" max="15875" width="15.28515625" style="68" customWidth="1"/>
    <col min="15876" max="15876" width="3.28515625" style="68" customWidth="1"/>
    <col min="15877" max="15877" width="13.7109375" style="68" customWidth="1"/>
    <col min="15878" max="15878" width="10.7109375" style="68" customWidth="1"/>
    <col min="15879" max="15879" width="6.28515625" style="68" customWidth="1"/>
    <col min="15880" max="15880" width="17.85546875" style="68" customWidth="1"/>
    <col min="15881" max="15881" width="11.140625" style="68" customWidth="1"/>
    <col min="15882" max="15883" width="10.7109375" style="68" customWidth="1"/>
    <col min="15884" max="16128" width="10.7109375" style="68"/>
    <col min="16129" max="16129" width="7.140625" style="68" customWidth="1"/>
    <col min="16130" max="16130" width="13.28515625" style="68" customWidth="1"/>
    <col min="16131" max="16131" width="15.28515625" style="68" customWidth="1"/>
    <col min="16132" max="16132" width="3.28515625" style="68" customWidth="1"/>
    <col min="16133" max="16133" width="13.7109375" style="68" customWidth="1"/>
    <col min="16134" max="16134" width="10.7109375" style="68" customWidth="1"/>
    <col min="16135" max="16135" width="6.28515625" style="68" customWidth="1"/>
    <col min="16136" max="16136" width="17.85546875" style="68" customWidth="1"/>
    <col min="16137" max="16137" width="11.140625" style="68" customWidth="1"/>
    <col min="16138" max="16139" width="10.7109375" style="68" customWidth="1"/>
    <col min="16140" max="16384" width="10.7109375" style="68"/>
  </cols>
  <sheetData>
    <row r="1" spans="1:194" s="50" customFormat="1" ht="21.75" hidden="1" customHeight="1" outlineLevel="1" x14ac:dyDescent="0.25">
      <c r="A1" s="50" t="s">
        <v>17</v>
      </c>
      <c r="B1" s="51" t="str">
        <f>CONCATENATE(A63,"  ",A65)</f>
        <v xml:space="preserve">  </v>
      </c>
      <c r="C1" s="51"/>
      <c r="D1" s="51"/>
      <c r="E1" s="51"/>
      <c r="F1" s="51"/>
      <c r="G1" s="51"/>
      <c r="H1" s="51"/>
      <c r="I1" s="51"/>
      <c r="J1" s="52"/>
    </row>
    <row r="2" spans="1:194" s="50" customFormat="1" ht="15.2" hidden="1" customHeight="1" outlineLevel="1" collapsed="1" x14ac:dyDescent="0.25">
      <c r="A2" s="50" t="s">
        <v>85</v>
      </c>
      <c r="C2" s="53"/>
      <c r="E2" s="54" t="s">
        <v>86</v>
      </c>
      <c r="H2" s="55"/>
      <c r="J2" s="52"/>
    </row>
    <row r="3" spans="1:194" s="56" customFormat="1" ht="10.5" hidden="1" customHeight="1" outlineLevel="1" x14ac:dyDescent="0.15">
      <c r="C3" s="57" t="s">
        <v>18</v>
      </c>
      <c r="D3" s="58"/>
      <c r="E3" s="59" t="s">
        <v>19</v>
      </c>
      <c r="H3" s="60"/>
      <c r="J3" s="61"/>
    </row>
    <row r="4" spans="1:194" s="50" customFormat="1" ht="15.2" hidden="1" customHeight="1" outlineLevel="1" x14ac:dyDescent="0.25">
      <c r="A4" s="50" t="s">
        <v>89</v>
      </c>
      <c r="C4" s="53"/>
      <c r="E4" s="54" t="s">
        <v>90</v>
      </c>
      <c r="H4" s="55"/>
      <c r="J4" s="52"/>
    </row>
    <row r="5" spans="1:194" s="63" customFormat="1" ht="24.75" hidden="1" customHeight="1" outlineLevel="1" x14ac:dyDescent="0.2">
      <c r="A5" s="62"/>
      <c r="C5" s="64" t="s">
        <v>18</v>
      </c>
      <c r="D5" s="58"/>
      <c r="E5" s="59" t="s">
        <v>19</v>
      </c>
      <c r="F5" s="56"/>
      <c r="H5" s="60"/>
      <c r="J5" s="65"/>
    </row>
    <row r="6" spans="1:194" s="50" customFormat="1" ht="16.5" customHeight="1" collapsed="1" x14ac:dyDescent="0.3">
      <c r="E6" s="66" t="s">
        <v>20</v>
      </c>
      <c r="F6" s="53"/>
      <c r="I6" s="67" t="s">
        <v>21</v>
      </c>
      <c r="J6" s="52"/>
    </row>
    <row r="7" spans="1:194" ht="12" customHeight="1" x14ac:dyDescent="0.25">
      <c r="B7" s="69" t="s">
        <v>71</v>
      </c>
      <c r="D7" s="70"/>
      <c r="E7" s="70"/>
      <c r="F7" s="70"/>
      <c r="G7" s="70"/>
      <c r="H7" s="71" t="s">
        <v>22</v>
      </c>
      <c r="I7" s="72" t="s">
        <v>23</v>
      </c>
      <c r="J7" s="73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50" customFormat="1" ht="15.75" customHeight="1" x14ac:dyDescent="0.25">
      <c r="B8" s="74" t="s">
        <v>9</v>
      </c>
      <c r="C8" s="408" t="s">
        <v>148</v>
      </c>
      <c r="D8" s="408"/>
      <c r="E8" s="408"/>
      <c r="F8" s="408"/>
      <c r="G8" s="75" t="s">
        <v>117</v>
      </c>
      <c r="H8" s="71" t="s">
        <v>24</v>
      </c>
      <c r="I8" s="159">
        <v>45930</v>
      </c>
      <c r="J8" s="52"/>
    </row>
    <row r="9" spans="1:194" s="81" customFormat="1" ht="33.75" customHeight="1" x14ac:dyDescent="0.25">
      <c r="A9" s="409" t="s">
        <v>87</v>
      </c>
      <c r="B9" s="409"/>
      <c r="C9" s="76" t="s">
        <v>26</v>
      </c>
      <c r="D9" s="77"/>
      <c r="E9" s="78"/>
      <c r="F9" s="78"/>
      <c r="G9" s="78"/>
      <c r="H9" s="71" t="s">
        <v>27</v>
      </c>
      <c r="I9" s="79" t="s">
        <v>28</v>
      </c>
      <c r="J9" s="80"/>
    </row>
    <row r="10" spans="1:194" s="50" customFormat="1" ht="13.5" customHeight="1" x14ac:dyDescent="0.2">
      <c r="A10" s="82" t="s">
        <v>29</v>
      </c>
      <c r="C10" s="410" t="s">
        <v>72</v>
      </c>
      <c r="D10" s="410"/>
      <c r="E10" s="410"/>
      <c r="F10" s="410"/>
      <c r="G10" s="410"/>
      <c r="H10" s="74" t="s">
        <v>30</v>
      </c>
      <c r="I10" s="83"/>
      <c r="J10" s="52"/>
    </row>
    <row r="11" spans="1:194" s="81" customFormat="1" ht="12" customHeight="1" x14ac:dyDescent="0.3">
      <c r="A11" s="84" t="s">
        <v>31</v>
      </c>
      <c r="B11" s="85"/>
      <c r="C11" s="77"/>
      <c r="D11" s="86"/>
      <c r="E11" s="87"/>
      <c r="F11" s="88"/>
      <c r="G11" s="87"/>
      <c r="H11" s="74" t="s">
        <v>32</v>
      </c>
      <c r="I11" s="83"/>
      <c r="J11" s="80"/>
    </row>
    <row r="12" spans="1:194" s="81" customFormat="1" ht="12" customHeight="1" x14ac:dyDescent="0.25">
      <c r="A12" s="84" t="s">
        <v>33</v>
      </c>
      <c r="B12" s="85"/>
      <c r="C12" s="89"/>
      <c r="D12" s="90"/>
      <c r="E12" s="90"/>
      <c r="F12" s="90"/>
      <c r="G12" s="90"/>
      <c r="H12" s="74" t="s">
        <v>34</v>
      </c>
      <c r="I12" s="83"/>
      <c r="J12" s="80"/>
    </row>
    <row r="13" spans="1:194" s="81" customFormat="1" ht="12" customHeight="1" x14ac:dyDescent="0.25">
      <c r="A13" s="91" t="s">
        <v>35</v>
      </c>
      <c r="B13" s="85"/>
      <c r="C13" s="89"/>
      <c r="D13" s="90"/>
      <c r="E13" s="90"/>
      <c r="F13" s="90"/>
      <c r="G13" s="90"/>
      <c r="H13" s="74" t="s">
        <v>36</v>
      </c>
      <c r="I13" s="83"/>
      <c r="J13" s="80"/>
    </row>
    <row r="14" spans="1:194" ht="12" customHeight="1" x14ac:dyDescent="0.2">
      <c r="A14" s="84" t="s">
        <v>37</v>
      </c>
      <c r="H14" s="74" t="s">
        <v>38</v>
      </c>
      <c r="I14" s="79" t="s">
        <v>39</v>
      </c>
      <c r="J14" s="73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ht="12" customHeight="1" x14ac:dyDescent="0.2">
      <c r="A15" s="84" t="s">
        <v>40</v>
      </c>
      <c r="C15" s="92" t="s">
        <v>41</v>
      </c>
      <c r="E15" s="93"/>
      <c r="F15" s="93"/>
      <c r="G15" s="93"/>
      <c r="I15" s="94"/>
    </row>
    <row r="16" spans="1:194" s="98" customFormat="1" ht="28.5" customHeight="1" x14ac:dyDescent="0.2">
      <c r="A16" s="217" t="s">
        <v>1</v>
      </c>
      <c r="B16" s="411" t="s">
        <v>12</v>
      </c>
      <c r="C16" s="411"/>
      <c r="D16" s="411"/>
      <c r="E16" s="411"/>
      <c r="F16" s="218" t="s">
        <v>2</v>
      </c>
      <c r="G16" s="412" t="s">
        <v>42</v>
      </c>
      <c r="H16" s="412"/>
      <c r="I16" s="412"/>
      <c r="J16" s="96"/>
      <c r="K16" s="97"/>
    </row>
    <row r="17" spans="1:11" s="101" customFormat="1" ht="10.5" customHeight="1" x14ac:dyDescent="0.2">
      <c r="A17" s="99">
        <v>1</v>
      </c>
      <c r="B17" s="407">
        <v>2</v>
      </c>
      <c r="C17" s="407"/>
      <c r="D17" s="407"/>
      <c r="E17" s="407"/>
      <c r="F17" s="99">
        <v>3</v>
      </c>
      <c r="G17" s="407">
        <v>4</v>
      </c>
      <c r="H17" s="407"/>
      <c r="I17" s="407"/>
      <c r="J17" s="100"/>
    </row>
    <row r="18" spans="1:11" s="104" customFormat="1" ht="18" customHeight="1" x14ac:dyDescent="0.25">
      <c r="A18" s="102"/>
      <c r="B18" s="402" t="str">
        <f>'табель сирот'!B6</f>
        <v>Артемьев Сергей Эдуардович</v>
      </c>
      <c r="C18" s="403" t="s">
        <v>7</v>
      </c>
      <c r="D18" s="403" t="s">
        <v>7</v>
      </c>
      <c r="E18" s="403" t="s">
        <v>7</v>
      </c>
      <c r="F18" s="132" t="str">
        <f>'табель сирот'!C6</f>
        <v>К1-25</v>
      </c>
      <c r="G18" s="405">
        <f>'расчет сирот'!F9</f>
        <v>8366.8000000000011</v>
      </c>
      <c r="H18" s="405"/>
      <c r="I18" s="405"/>
      <c r="J18" s="103"/>
      <c r="K18" s="103"/>
    </row>
    <row r="19" spans="1:11" s="104" customFormat="1" ht="18" customHeight="1" x14ac:dyDescent="0.25">
      <c r="A19" s="102"/>
      <c r="B19" s="402" t="str">
        <f>'табель сирот'!B7</f>
        <v>Ефремов Константин Александрович</v>
      </c>
      <c r="C19" s="403" t="s">
        <v>7</v>
      </c>
      <c r="D19" s="403" t="s">
        <v>7</v>
      </c>
      <c r="E19" s="403" t="s">
        <v>7</v>
      </c>
      <c r="F19" s="132" t="str">
        <f>'табель сирот'!C7</f>
        <v>Мр1-24</v>
      </c>
      <c r="G19" s="405">
        <f>'расчет сирот'!F10</f>
        <v>6868.4500000000007</v>
      </c>
      <c r="H19" s="405"/>
      <c r="I19" s="405"/>
      <c r="J19" s="103"/>
      <c r="K19" s="105"/>
    </row>
    <row r="20" spans="1:11" s="104" customFormat="1" ht="18" customHeight="1" collapsed="1" x14ac:dyDescent="0.25">
      <c r="A20" s="102"/>
      <c r="B20" s="402" t="str">
        <f>'табель сирот'!B8</f>
        <v>Михайлова Софья Сергеевна</v>
      </c>
      <c r="C20" s="403" t="s">
        <v>7</v>
      </c>
      <c r="D20" s="403" t="s">
        <v>7</v>
      </c>
      <c r="E20" s="403" t="s">
        <v>7</v>
      </c>
      <c r="F20" s="132" t="str">
        <f>'табель сирот'!C8</f>
        <v>Мр1-25</v>
      </c>
      <c r="G20" s="405">
        <f>'расчет сирот'!F11</f>
        <v>8366.8000000000011</v>
      </c>
      <c r="H20" s="405"/>
      <c r="I20" s="405"/>
      <c r="J20" s="68"/>
      <c r="K20" s="105"/>
    </row>
    <row r="21" spans="1:11" s="104" customFormat="1" ht="18" customHeight="1" x14ac:dyDescent="0.25">
      <c r="A21" s="102"/>
      <c r="B21" s="402" t="str">
        <f>'табель сирот'!B9</f>
        <v>Яковлев Егор Сергеевич</v>
      </c>
      <c r="C21" s="403" t="s">
        <v>7</v>
      </c>
      <c r="D21" s="403" t="s">
        <v>7</v>
      </c>
      <c r="E21" s="403" t="s">
        <v>7</v>
      </c>
      <c r="F21" s="132" t="str">
        <f>'табель сирот'!C9</f>
        <v>О2-25</v>
      </c>
      <c r="G21" s="405">
        <f>'расчет сирот'!F14</f>
        <v>8167.0200000000013</v>
      </c>
      <c r="H21" s="405"/>
      <c r="I21" s="405"/>
      <c r="J21" s="103"/>
      <c r="K21" s="105"/>
    </row>
    <row r="22" spans="1:11" s="104" customFormat="1" ht="18" customHeight="1" x14ac:dyDescent="0.25">
      <c r="A22" s="102"/>
      <c r="B22" s="246" t="s">
        <v>149</v>
      </c>
      <c r="C22" s="247"/>
      <c r="D22" s="247"/>
      <c r="E22" s="248"/>
      <c r="F22" s="132" t="s">
        <v>139</v>
      </c>
      <c r="G22" s="245"/>
      <c r="H22" s="245"/>
      <c r="I22" s="245"/>
      <c r="J22" s="103"/>
      <c r="K22" s="105"/>
    </row>
    <row r="23" spans="1:11" s="104" customFormat="1" ht="18" customHeight="1" x14ac:dyDescent="0.25">
      <c r="A23" s="102"/>
      <c r="B23" s="396" t="s">
        <v>150</v>
      </c>
      <c r="C23" s="397"/>
      <c r="D23" s="397"/>
      <c r="E23" s="398"/>
      <c r="F23" s="132" t="s">
        <v>139</v>
      </c>
      <c r="G23" s="245"/>
      <c r="H23" s="245"/>
      <c r="I23" s="245"/>
      <c r="J23" s="103"/>
      <c r="K23" s="105"/>
    </row>
    <row r="24" spans="1:11" s="104" customFormat="1" ht="18" customHeight="1" x14ac:dyDescent="0.25">
      <c r="A24" s="102"/>
      <c r="B24" s="402"/>
      <c r="C24" s="403"/>
      <c r="D24" s="403"/>
      <c r="E24" s="403"/>
      <c r="F24" s="132"/>
      <c r="G24" s="405"/>
      <c r="H24" s="405"/>
      <c r="I24" s="405"/>
      <c r="J24" s="95"/>
      <c r="K24" s="105"/>
    </row>
    <row r="25" spans="1:11" s="104" customFormat="1" ht="18" hidden="1" customHeight="1" x14ac:dyDescent="0.25">
      <c r="A25" s="102">
        <v>25</v>
      </c>
      <c r="B25" s="402">
        <f>'табель сирот'!B12</f>
        <v>0</v>
      </c>
      <c r="C25" s="403" t="s">
        <v>7</v>
      </c>
      <c r="D25" s="403" t="s">
        <v>7</v>
      </c>
      <c r="E25" s="403" t="s">
        <v>7</v>
      </c>
      <c r="F25" s="132">
        <f>'табель сирот'!C12</f>
        <v>0</v>
      </c>
      <c r="G25" s="405">
        <f>'расчет сирот'!F16</f>
        <v>0</v>
      </c>
      <c r="H25" s="405"/>
      <c r="I25" s="405"/>
      <c r="J25" s="103"/>
      <c r="K25" s="105"/>
    </row>
    <row r="26" spans="1:11" s="104" customFormat="1" ht="18" hidden="1" customHeight="1" x14ac:dyDescent="0.25">
      <c r="A26" s="102">
        <v>26</v>
      </c>
      <c r="B26" s="402">
        <f>'табель сирот'!B13</f>
        <v>0</v>
      </c>
      <c r="C26" s="403" t="s">
        <v>7</v>
      </c>
      <c r="D26" s="403" t="s">
        <v>7</v>
      </c>
      <c r="E26" s="403" t="s">
        <v>7</v>
      </c>
      <c r="F26" s="132">
        <f>'табель сирот'!C13</f>
        <v>0</v>
      </c>
      <c r="G26" s="405">
        <f>'расчет сирот'!F17</f>
        <v>0</v>
      </c>
      <c r="H26" s="405"/>
      <c r="I26" s="405"/>
      <c r="J26" s="95"/>
      <c r="K26" s="105"/>
    </row>
    <row r="27" spans="1:11" s="104" customFormat="1" ht="18" hidden="1" customHeight="1" x14ac:dyDescent="0.25">
      <c r="A27" s="102">
        <v>27</v>
      </c>
      <c r="B27" s="402">
        <f>'табель сирот'!B14</f>
        <v>0</v>
      </c>
      <c r="C27" s="403" t="s">
        <v>7</v>
      </c>
      <c r="D27" s="403" t="s">
        <v>7</v>
      </c>
      <c r="E27" s="403" t="s">
        <v>7</v>
      </c>
      <c r="F27" s="132">
        <f>'табель сирот'!C14</f>
        <v>0</v>
      </c>
      <c r="G27" s="405">
        <f>'расчет сирот'!F18</f>
        <v>0</v>
      </c>
      <c r="H27" s="405"/>
      <c r="I27" s="405"/>
      <c r="J27" s="103"/>
      <c r="K27" s="105"/>
    </row>
    <row r="28" spans="1:11" s="104" customFormat="1" ht="18" hidden="1" customHeight="1" collapsed="1" x14ac:dyDescent="0.25">
      <c r="A28" s="102">
        <v>28</v>
      </c>
      <c r="B28" s="402">
        <f>'табель сирот'!B15</f>
        <v>0</v>
      </c>
      <c r="C28" s="403" t="s">
        <v>7</v>
      </c>
      <c r="D28" s="403" t="s">
        <v>7</v>
      </c>
      <c r="E28" s="403" t="s">
        <v>7</v>
      </c>
      <c r="F28" s="132">
        <f>'табель сирот'!C15</f>
        <v>0</v>
      </c>
      <c r="G28" s="405">
        <f>'расчет сирот'!F19</f>
        <v>0</v>
      </c>
      <c r="H28" s="405"/>
      <c r="I28" s="405"/>
      <c r="J28" s="105"/>
      <c r="K28" s="105"/>
    </row>
    <row r="29" spans="1:11" s="104" customFormat="1" ht="18" hidden="1" customHeight="1" x14ac:dyDescent="0.25">
      <c r="A29" s="102">
        <v>29</v>
      </c>
      <c r="B29" s="402">
        <f>'табель сирот'!B16</f>
        <v>0</v>
      </c>
      <c r="C29" s="403" t="s">
        <v>7</v>
      </c>
      <c r="D29" s="403" t="s">
        <v>7</v>
      </c>
      <c r="E29" s="403" t="s">
        <v>7</v>
      </c>
      <c r="F29" s="132">
        <f>'табель сирот'!C16</f>
        <v>0</v>
      </c>
      <c r="G29" s="405">
        <f>'расчет сирот'!F20</f>
        <v>0</v>
      </c>
      <c r="H29" s="405"/>
      <c r="I29" s="405"/>
      <c r="J29" s="95"/>
      <c r="K29" s="105"/>
    </row>
    <row r="30" spans="1:11" s="104" customFormat="1" ht="18" hidden="1" customHeight="1" x14ac:dyDescent="0.25">
      <c r="A30" s="102">
        <v>30</v>
      </c>
      <c r="B30" s="402">
        <f>'табель сирот'!B17</f>
        <v>0</v>
      </c>
      <c r="C30" s="403" t="s">
        <v>7</v>
      </c>
      <c r="D30" s="403" t="s">
        <v>7</v>
      </c>
      <c r="E30" s="403" t="s">
        <v>7</v>
      </c>
      <c r="F30" s="132">
        <f>'табель сирот'!C17</f>
        <v>0</v>
      </c>
      <c r="G30" s="405">
        <f>'расчет сирот'!F21</f>
        <v>0</v>
      </c>
      <c r="H30" s="405"/>
      <c r="I30" s="405"/>
      <c r="J30" s="103"/>
      <c r="K30" s="105"/>
    </row>
    <row r="31" spans="1:11" s="104" customFormat="1" ht="18" hidden="1" customHeight="1" x14ac:dyDescent="0.25">
      <c r="A31" s="102">
        <v>31</v>
      </c>
      <c r="B31" s="402">
        <f>'табель сирот'!B18</f>
        <v>0</v>
      </c>
      <c r="C31" s="403" t="s">
        <v>7</v>
      </c>
      <c r="D31" s="403" t="s">
        <v>7</v>
      </c>
      <c r="E31" s="403" t="s">
        <v>7</v>
      </c>
      <c r="F31" s="132">
        <f>'табель сирот'!C18</f>
        <v>0</v>
      </c>
      <c r="G31" s="405">
        <f>'расчет сирот'!F22</f>
        <v>0</v>
      </c>
      <c r="H31" s="405"/>
      <c r="I31" s="405"/>
      <c r="J31" s="103"/>
      <c r="K31" s="105"/>
    </row>
    <row r="32" spans="1:11" s="104" customFormat="1" ht="18" hidden="1" customHeight="1" x14ac:dyDescent="0.25">
      <c r="A32" s="102">
        <v>32</v>
      </c>
      <c r="B32" s="402">
        <f>'табель сирот'!B19</f>
        <v>0</v>
      </c>
      <c r="C32" s="403" t="s">
        <v>7</v>
      </c>
      <c r="D32" s="403" t="s">
        <v>7</v>
      </c>
      <c r="E32" s="403" t="s">
        <v>7</v>
      </c>
      <c r="F32" s="132">
        <f>'табель сирот'!C19</f>
        <v>0</v>
      </c>
      <c r="G32" s="405">
        <f>'расчет сирот'!F23</f>
        <v>0</v>
      </c>
      <c r="H32" s="405"/>
      <c r="I32" s="405"/>
      <c r="J32" s="95"/>
      <c r="K32" s="105"/>
    </row>
    <row r="33" spans="1:12" s="104" customFormat="1" ht="18" hidden="1" customHeight="1" collapsed="1" x14ac:dyDescent="0.25">
      <c r="A33" s="102">
        <v>33</v>
      </c>
      <c r="B33" s="402">
        <f>'табель сирот'!B20</f>
        <v>0</v>
      </c>
      <c r="C33" s="403" t="s">
        <v>7</v>
      </c>
      <c r="D33" s="403" t="s">
        <v>7</v>
      </c>
      <c r="E33" s="403" t="s">
        <v>7</v>
      </c>
      <c r="F33" s="132">
        <f>'табель сирот'!C20</f>
        <v>0</v>
      </c>
      <c r="G33" s="405">
        <f>'расчет сирот'!F24</f>
        <v>0</v>
      </c>
      <c r="H33" s="405"/>
      <c r="I33" s="405"/>
      <c r="J33" s="95"/>
      <c r="K33" s="105"/>
    </row>
    <row r="34" spans="1:12" s="104" customFormat="1" ht="18" hidden="1" customHeight="1" x14ac:dyDescent="0.25">
      <c r="A34" s="102">
        <v>34</v>
      </c>
      <c r="B34" s="433">
        <f>'табель сирот'!B21</f>
        <v>0</v>
      </c>
      <c r="C34" s="434"/>
      <c r="D34" s="434"/>
      <c r="E34" s="435"/>
      <c r="F34" s="132">
        <f>'табель сирот'!C21</f>
        <v>0</v>
      </c>
      <c r="G34" s="405">
        <f>'расчет сирот'!F25</f>
        <v>0</v>
      </c>
      <c r="H34" s="405"/>
      <c r="I34" s="405"/>
      <c r="J34" s="95"/>
      <c r="K34" s="105"/>
    </row>
    <row r="35" spans="1:12" s="104" customFormat="1" ht="18" hidden="1" customHeight="1" x14ac:dyDescent="0.25">
      <c r="A35" s="102">
        <v>35</v>
      </c>
      <c r="B35" s="402">
        <f>'табель сирот'!B22</f>
        <v>0</v>
      </c>
      <c r="C35" s="403" t="s">
        <v>7</v>
      </c>
      <c r="D35" s="403" t="s">
        <v>7</v>
      </c>
      <c r="E35" s="403" t="s">
        <v>7</v>
      </c>
      <c r="F35" s="132">
        <f>'табель сирот'!C22</f>
        <v>0</v>
      </c>
      <c r="G35" s="405">
        <f>'расчет сирот'!F26</f>
        <v>0</v>
      </c>
      <c r="H35" s="405"/>
      <c r="I35" s="405"/>
      <c r="J35" s="103"/>
      <c r="K35" s="105"/>
    </row>
    <row r="36" spans="1:12" s="104" customFormat="1" ht="18" hidden="1" customHeight="1" x14ac:dyDescent="0.25">
      <c r="A36" s="102">
        <v>36</v>
      </c>
      <c r="B36" s="402">
        <f>'табель сирот'!B23</f>
        <v>0</v>
      </c>
      <c r="C36" s="403" t="s">
        <v>7</v>
      </c>
      <c r="D36" s="403" t="s">
        <v>7</v>
      </c>
      <c r="E36" s="403" t="s">
        <v>7</v>
      </c>
      <c r="F36" s="132">
        <f>'табель сирот'!C23</f>
        <v>0</v>
      </c>
      <c r="G36" s="405">
        <f>'расчет сирот'!F27</f>
        <v>0</v>
      </c>
      <c r="H36" s="405"/>
      <c r="I36" s="405"/>
      <c r="J36" s="103"/>
      <c r="K36" s="105"/>
    </row>
    <row r="37" spans="1:12" s="104" customFormat="1" ht="18" hidden="1" customHeight="1" outlineLevel="1" x14ac:dyDescent="0.25">
      <c r="A37" s="102">
        <v>37</v>
      </c>
      <c r="B37" s="402">
        <f>'табель сирот'!B24</f>
        <v>0</v>
      </c>
      <c r="C37" s="403" t="s">
        <v>7</v>
      </c>
      <c r="D37" s="403" t="s">
        <v>7</v>
      </c>
      <c r="E37" s="403" t="s">
        <v>7</v>
      </c>
      <c r="F37" s="132">
        <f>'табель сирот'!C24</f>
        <v>0</v>
      </c>
      <c r="G37" s="405">
        <f>'расчет сирот'!F28</f>
        <v>0</v>
      </c>
      <c r="H37" s="405"/>
      <c r="I37" s="405"/>
      <c r="J37" s="68"/>
      <c r="K37" s="229"/>
      <c r="L37" s="50"/>
    </row>
    <row r="38" spans="1:12" s="104" customFormat="1" ht="18" hidden="1" customHeight="1" outlineLevel="1" x14ac:dyDescent="0.25">
      <c r="A38" s="102">
        <v>38</v>
      </c>
      <c r="B38" s="402">
        <f>'табель сирот'!B25</f>
        <v>0</v>
      </c>
      <c r="C38" s="403" t="s">
        <v>7</v>
      </c>
      <c r="D38" s="403" t="s">
        <v>7</v>
      </c>
      <c r="E38" s="403" t="s">
        <v>7</v>
      </c>
      <c r="F38" s="132">
        <f>'табель сирот'!C25</f>
        <v>0</v>
      </c>
      <c r="G38" s="405">
        <f>'расчет сирот'!F29</f>
        <v>0</v>
      </c>
      <c r="H38" s="405"/>
      <c r="I38" s="405"/>
      <c r="J38" s="95"/>
      <c r="K38" s="105"/>
    </row>
    <row r="39" spans="1:12" s="104" customFormat="1" ht="18" hidden="1" customHeight="1" outlineLevel="1" x14ac:dyDescent="0.25">
      <c r="A39" s="102">
        <v>39</v>
      </c>
      <c r="B39" s="402">
        <f>'табель сирот'!B26</f>
        <v>0</v>
      </c>
      <c r="C39" s="403" t="s">
        <v>7</v>
      </c>
      <c r="D39" s="403" t="s">
        <v>7</v>
      </c>
      <c r="E39" s="403" t="s">
        <v>7</v>
      </c>
      <c r="F39" s="132">
        <f>'табель сирот'!C26</f>
        <v>0</v>
      </c>
      <c r="G39" s="405">
        <f>'расчет сирот'!F30</f>
        <v>0</v>
      </c>
      <c r="H39" s="405"/>
      <c r="I39" s="405"/>
      <c r="J39" s="95"/>
      <c r="K39" s="105"/>
    </row>
    <row r="40" spans="1:12" s="104" customFormat="1" ht="18" hidden="1" customHeight="1" outlineLevel="1" x14ac:dyDescent="0.25">
      <c r="A40" s="102">
        <v>40</v>
      </c>
      <c r="B40" s="402">
        <f>'табель сирот'!B27</f>
        <v>0</v>
      </c>
      <c r="C40" s="403" t="s">
        <v>7</v>
      </c>
      <c r="D40" s="403" t="s">
        <v>7</v>
      </c>
      <c r="E40" s="403" t="s">
        <v>7</v>
      </c>
      <c r="F40" s="132">
        <f>'табель сирот'!C27</f>
        <v>0</v>
      </c>
      <c r="G40" s="405">
        <f>'расчет сирот'!F31</f>
        <v>0</v>
      </c>
      <c r="H40" s="405"/>
      <c r="I40" s="405"/>
      <c r="J40" s="103"/>
      <c r="K40" s="105"/>
    </row>
    <row r="41" spans="1:12" s="104" customFormat="1" ht="18" hidden="1" customHeight="1" outlineLevel="1" x14ac:dyDescent="0.25">
      <c r="A41" s="102">
        <v>41</v>
      </c>
      <c r="B41" s="402">
        <f>'табель сирот'!B28</f>
        <v>0</v>
      </c>
      <c r="C41" s="403" t="s">
        <v>7</v>
      </c>
      <c r="D41" s="403" t="s">
        <v>7</v>
      </c>
      <c r="E41" s="403" t="s">
        <v>7</v>
      </c>
      <c r="F41" s="132">
        <f>'табель сирот'!C28</f>
        <v>0</v>
      </c>
      <c r="G41" s="405">
        <f>'расчет сирот'!F32</f>
        <v>0</v>
      </c>
      <c r="H41" s="405"/>
      <c r="I41" s="405"/>
      <c r="J41" s="103"/>
      <c r="K41" s="105"/>
    </row>
    <row r="42" spans="1:12" s="104" customFormat="1" ht="18" hidden="1" customHeight="1" outlineLevel="1" x14ac:dyDescent="0.25">
      <c r="A42" s="102">
        <v>42</v>
      </c>
      <c r="B42" s="402">
        <f>'табель сирот'!B29</f>
        <v>0</v>
      </c>
      <c r="C42" s="403" t="s">
        <v>7</v>
      </c>
      <c r="D42" s="403" t="s">
        <v>7</v>
      </c>
      <c r="E42" s="403" t="s">
        <v>7</v>
      </c>
      <c r="F42" s="132">
        <f>'табель сирот'!C29</f>
        <v>0</v>
      </c>
      <c r="G42" s="405">
        <f>'расчет сирот'!F33</f>
        <v>0</v>
      </c>
      <c r="H42" s="405"/>
      <c r="I42" s="405"/>
      <c r="J42" s="95"/>
      <c r="K42" s="105"/>
    </row>
    <row r="43" spans="1:12" s="104" customFormat="1" ht="18" hidden="1" customHeight="1" outlineLevel="1" x14ac:dyDescent="0.25">
      <c r="A43" s="102">
        <v>43</v>
      </c>
      <c r="B43" s="402">
        <f>'табель сирот'!B30</f>
        <v>0</v>
      </c>
      <c r="C43" s="403" t="s">
        <v>7</v>
      </c>
      <c r="D43" s="403" t="s">
        <v>7</v>
      </c>
      <c r="E43" s="403" t="s">
        <v>7</v>
      </c>
      <c r="F43" s="132">
        <f>'табель сирот'!C30</f>
        <v>0</v>
      </c>
      <c r="G43" s="405">
        <f>'расчет сирот'!F34</f>
        <v>0</v>
      </c>
      <c r="H43" s="405"/>
      <c r="I43" s="405"/>
      <c r="J43" s="95"/>
      <c r="K43" s="105"/>
    </row>
    <row r="44" spans="1:12" s="104" customFormat="1" ht="18" hidden="1" customHeight="1" outlineLevel="1" x14ac:dyDescent="0.25">
      <c r="A44" s="102">
        <v>44</v>
      </c>
      <c r="B44" s="402">
        <f>'табель сирот'!B31</f>
        <v>0</v>
      </c>
      <c r="C44" s="403" t="s">
        <v>7</v>
      </c>
      <c r="D44" s="403" t="s">
        <v>7</v>
      </c>
      <c r="E44" s="403" t="s">
        <v>7</v>
      </c>
      <c r="F44" s="132">
        <f>'табель сирот'!C31</f>
        <v>0</v>
      </c>
      <c r="G44" s="405">
        <f>'расчет сирот'!F35</f>
        <v>0</v>
      </c>
      <c r="H44" s="405"/>
      <c r="I44" s="405"/>
      <c r="J44" s="103"/>
      <c r="K44" s="105"/>
    </row>
    <row r="45" spans="1:12" s="104" customFormat="1" ht="18" hidden="1" customHeight="1" outlineLevel="1" x14ac:dyDescent="0.25">
      <c r="A45" s="102">
        <v>45</v>
      </c>
      <c r="B45" s="402">
        <f>'табель сирот'!B32</f>
        <v>0</v>
      </c>
      <c r="C45" s="403" t="s">
        <v>7</v>
      </c>
      <c r="D45" s="403" t="s">
        <v>7</v>
      </c>
      <c r="E45" s="403" t="s">
        <v>7</v>
      </c>
      <c r="F45" s="132">
        <f>'табель сирот'!C32</f>
        <v>0</v>
      </c>
      <c r="G45" s="405">
        <f>'расчет сирот'!F36</f>
        <v>0</v>
      </c>
      <c r="H45" s="405"/>
      <c r="I45" s="405"/>
      <c r="J45" s="103"/>
      <c r="K45" s="105"/>
    </row>
    <row r="46" spans="1:12" s="104" customFormat="1" ht="18" hidden="1" customHeight="1" outlineLevel="1" collapsed="1" x14ac:dyDescent="0.25">
      <c r="A46" s="102">
        <v>46</v>
      </c>
      <c r="B46" s="402">
        <f>'табель сирот'!B33</f>
        <v>0</v>
      </c>
      <c r="C46" s="403" t="s">
        <v>7</v>
      </c>
      <c r="D46" s="403" t="s">
        <v>7</v>
      </c>
      <c r="E46" s="403" t="s">
        <v>7</v>
      </c>
      <c r="F46" s="132">
        <f>'табель сирот'!C33</f>
        <v>0</v>
      </c>
      <c r="G46" s="405">
        <f>'расчет сирот'!F37</f>
        <v>0</v>
      </c>
      <c r="H46" s="405"/>
      <c r="I46" s="405"/>
      <c r="J46" s="103"/>
      <c r="K46" s="105"/>
    </row>
    <row r="47" spans="1:12" s="104" customFormat="1" ht="18" hidden="1" customHeight="1" outlineLevel="1" x14ac:dyDescent="0.25">
      <c r="A47" s="102">
        <v>47</v>
      </c>
      <c r="B47" s="402">
        <f>'табель сирот'!B34</f>
        <v>0</v>
      </c>
      <c r="C47" s="403" t="s">
        <v>7</v>
      </c>
      <c r="D47" s="403" t="s">
        <v>7</v>
      </c>
      <c r="E47" s="403" t="s">
        <v>7</v>
      </c>
      <c r="F47" s="132">
        <f>'табель сирот'!C34</f>
        <v>0</v>
      </c>
      <c r="G47" s="405">
        <f>'расчет сирот'!F38</f>
        <v>0</v>
      </c>
      <c r="H47" s="405"/>
      <c r="I47" s="405"/>
      <c r="J47" s="103"/>
      <c r="K47" s="105"/>
    </row>
    <row r="48" spans="1:12" s="98" customFormat="1" ht="18" customHeight="1" collapsed="1" x14ac:dyDescent="0.25">
      <c r="A48" s="221"/>
      <c r="B48" s="414" t="s">
        <v>3</v>
      </c>
      <c r="C48" s="415"/>
      <c r="D48" s="415"/>
      <c r="E48" s="416"/>
      <c r="F48" s="83"/>
      <c r="G48" s="423">
        <f>SUM(G18:I47)</f>
        <v>31769.070000000003</v>
      </c>
      <c r="H48" s="423"/>
      <c r="I48" s="423"/>
      <c r="J48" s="106"/>
      <c r="K48" s="107"/>
    </row>
    <row r="49" spans="1:11" s="50" customFormat="1" ht="8.25" customHeight="1" x14ac:dyDescent="0.2">
      <c r="J49" s="52"/>
    </row>
    <row r="50" spans="1:11" s="50" customFormat="1" ht="34.5" hidden="1" customHeight="1" outlineLevel="1" x14ac:dyDescent="0.2">
      <c r="A50" s="50" t="s">
        <v>80</v>
      </c>
      <c r="C50" s="53"/>
      <c r="E50" s="108" t="s">
        <v>97</v>
      </c>
      <c r="J50" s="52"/>
    </row>
    <row r="51" spans="1:11" s="56" customFormat="1" ht="9.1999999999999993" hidden="1" customHeight="1" outlineLevel="1" x14ac:dyDescent="0.2">
      <c r="C51" s="109" t="s">
        <v>18</v>
      </c>
      <c r="E51" s="60" t="s">
        <v>19</v>
      </c>
      <c r="J51" s="61"/>
    </row>
    <row r="52" spans="1:11" s="50" customFormat="1" ht="15.2" hidden="1" customHeight="1" outlineLevel="1" x14ac:dyDescent="0.2">
      <c r="A52" s="50" t="s">
        <v>44</v>
      </c>
      <c r="C52" s="53"/>
      <c r="E52" s="108" t="s">
        <v>90</v>
      </c>
      <c r="J52" s="52"/>
    </row>
    <row r="53" spans="1:11" s="56" customFormat="1" ht="24" hidden="1" customHeight="1" outlineLevel="1" x14ac:dyDescent="0.2">
      <c r="C53" s="109" t="s">
        <v>18</v>
      </c>
      <c r="E53" s="60" t="s">
        <v>19</v>
      </c>
      <c r="H53" s="58"/>
      <c r="I53" s="58"/>
      <c r="J53" s="61"/>
    </row>
    <row r="54" spans="1:11" s="50" customFormat="1" ht="15.2" hidden="1" customHeight="1" outlineLevel="1" x14ac:dyDescent="0.25">
      <c r="C54" s="418"/>
      <c r="D54" s="418"/>
      <c r="J54" s="52"/>
    </row>
    <row r="55" spans="1:11" s="56" customFormat="1" ht="13.5" hidden="1" customHeight="1" outlineLevel="1" x14ac:dyDescent="0.2">
      <c r="B55" s="109"/>
      <c r="C55" s="60"/>
      <c r="H55" s="58"/>
      <c r="I55" s="58"/>
      <c r="J55" s="61"/>
    </row>
    <row r="56" spans="1:11" s="114" customFormat="1" ht="12.75" hidden="1" customHeight="1" outlineLevel="1" x14ac:dyDescent="0.2">
      <c r="A56" s="422"/>
      <c r="B56" s="422"/>
      <c r="C56" s="112"/>
      <c r="D56" s="112"/>
      <c r="E56" s="112"/>
      <c r="F56" s="112"/>
      <c r="G56" s="112"/>
      <c r="H56" s="112"/>
      <c r="I56" s="113"/>
      <c r="J56" s="113"/>
      <c r="K56" s="113"/>
    </row>
    <row r="57" spans="1:11" s="114" customFormat="1" ht="12.75" hidden="1" customHeight="1" outlineLevel="1" x14ac:dyDescent="0.2">
      <c r="A57" s="113"/>
      <c r="B57" s="233"/>
      <c r="C57" s="112"/>
      <c r="D57" s="112"/>
      <c r="E57" s="112"/>
      <c r="F57" s="112"/>
      <c r="G57" s="112"/>
      <c r="H57" s="112"/>
      <c r="I57" s="113"/>
      <c r="J57" s="113"/>
      <c r="K57" s="113"/>
    </row>
    <row r="58" spans="1:11" s="114" customFormat="1" ht="12.75" hidden="1" customHeight="1" outlineLevel="1" x14ac:dyDescent="0.2">
      <c r="A58" s="113"/>
      <c r="B58" s="233"/>
      <c r="C58" s="112"/>
      <c r="D58" s="112"/>
      <c r="E58" s="112"/>
      <c r="F58" s="112"/>
      <c r="G58" s="112"/>
      <c r="H58" s="112"/>
      <c r="I58" s="113"/>
      <c r="J58" s="113"/>
      <c r="K58" s="113"/>
    </row>
    <row r="59" spans="1:11" s="114" customFormat="1" ht="12.75" hidden="1" customHeight="1" outlineLevel="1" x14ac:dyDescent="0.2">
      <c r="A59" s="113"/>
      <c r="B59" s="233"/>
      <c r="C59" s="112"/>
      <c r="D59" s="112"/>
      <c r="E59" s="112"/>
      <c r="F59" s="112"/>
      <c r="G59" s="112"/>
      <c r="H59" s="112"/>
      <c r="I59" s="113"/>
      <c r="J59" s="113"/>
      <c r="K59" s="113"/>
    </row>
    <row r="60" spans="1:11" s="114" customFormat="1" ht="12.75" hidden="1" customHeight="1" outlineLevel="1" x14ac:dyDescent="0.2">
      <c r="A60" s="113"/>
      <c r="B60" s="233"/>
      <c r="C60" s="112"/>
      <c r="D60" s="112"/>
      <c r="E60" s="112"/>
      <c r="F60" s="112"/>
      <c r="G60" s="112"/>
      <c r="H60" s="112"/>
      <c r="I60" s="113"/>
      <c r="J60" s="113"/>
      <c r="K60" s="113"/>
    </row>
    <row r="61" spans="1:11" s="114" customFormat="1" ht="12.75" hidden="1" customHeight="1" outlineLevel="1" x14ac:dyDescent="0.2">
      <c r="A61" s="113"/>
      <c r="B61" s="233"/>
      <c r="C61" s="112"/>
      <c r="D61" s="112"/>
      <c r="E61" s="112"/>
      <c r="F61" s="112"/>
      <c r="G61" s="112"/>
      <c r="H61" s="112"/>
      <c r="I61" s="113"/>
      <c r="J61" s="113"/>
      <c r="K61" s="113"/>
    </row>
    <row r="62" spans="1:11" s="114" customFormat="1" ht="12.75" hidden="1" customHeight="1" outlineLevel="1" x14ac:dyDescent="0.2">
      <c r="A62" s="113"/>
      <c r="B62" s="233"/>
      <c r="C62" s="112"/>
      <c r="D62" s="112"/>
      <c r="E62" s="112"/>
      <c r="F62" s="112"/>
      <c r="G62" s="112"/>
      <c r="H62" s="112"/>
      <c r="I62" s="112"/>
      <c r="J62" s="113"/>
      <c r="K62" s="113"/>
    </row>
    <row r="63" spans="1:11" s="114" customFormat="1" ht="12.75" hidden="1" customHeight="1" outlineLevel="1" x14ac:dyDescent="0.2">
      <c r="A63" s="112"/>
      <c r="B63" s="113"/>
      <c r="C63" s="112"/>
      <c r="D63" s="112"/>
      <c r="E63" s="112"/>
      <c r="F63" s="112"/>
      <c r="G63" s="112"/>
      <c r="H63" s="112"/>
      <c r="I63" s="120"/>
      <c r="J63" s="113"/>
      <c r="K63" s="113"/>
    </row>
    <row r="64" spans="1:11" s="114" customFormat="1" ht="12.75" hidden="1" customHeight="1" outlineLevel="1" x14ac:dyDescent="0.2">
      <c r="A64" s="113"/>
      <c r="B64" s="113"/>
      <c r="C64" s="112"/>
      <c r="D64" s="234"/>
      <c r="E64" s="112"/>
      <c r="F64" s="112"/>
      <c r="G64" s="112"/>
      <c r="H64" s="112"/>
      <c r="I64" s="120"/>
      <c r="J64" s="113"/>
      <c r="K64" s="113"/>
    </row>
    <row r="65" spans="1:11" s="114" customFormat="1" ht="12.75" hidden="1" customHeight="1" outlineLevel="1" x14ac:dyDescent="0.2">
      <c r="A65" s="112"/>
      <c r="B65" s="113"/>
      <c r="C65" s="112"/>
      <c r="D65" s="121"/>
      <c r="E65" s="112"/>
      <c r="F65" s="112"/>
      <c r="G65" s="112"/>
      <c r="H65" s="112"/>
      <c r="I65" s="113"/>
      <c r="J65" s="113"/>
      <c r="K65" s="113"/>
    </row>
    <row r="66" spans="1:11" s="114" customFormat="1" ht="12.75" hidden="1" customHeight="1" outlineLevel="1" x14ac:dyDescent="0.2">
      <c r="A66" s="122"/>
      <c r="B66" s="122"/>
      <c r="C66" s="123"/>
      <c r="D66" s="113"/>
      <c r="E66" s="113"/>
      <c r="F66" s="113"/>
      <c r="G66" s="113"/>
      <c r="H66" s="113"/>
      <c r="I66" s="113"/>
    </row>
    <row r="67" spans="1:11" s="114" customFormat="1" ht="12.75" hidden="1" customHeight="1" outlineLevel="1" x14ac:dyDescent="0.2">
      <c r="A67" s="422"/>
      <c r="B67" s="422"/>
      <c r="C67" s="113"/>
      <c r="D67" s="113"/>
      <c r="E67" s="113"/>
      <c r="F67" s="113"/>
      <c r="G67" s="113"/>
      <c r="H67" s="113"/>
      <c r="I67" s="113"/>
    </row>
    <row r="68" spans="1:11" ht="15.2" customHeight="1" collapsed="1" x14ac:dyDescent="0.2"/>
    <row r="69" spans="1:11" ht="15.2" customHeight="1" x14ac:dyDescent="0.2"/>
    <row r="70" spans="1:11" ht="15.2" customHeight="1" x14ac:dyDescent="0.2"/>
    <row r="71" spans="1:11" ht="15.2" customHeight="1" x14ac:dyDescent="0.2"/>
    <row r="72" spans="1:11" ht="15.2" customHeight="1" x14ac:dyDescent="0.2">
      <c r="J72" s="68"/>
    </row>
    <row r="73" spans="1:11" ht="15.2" customHeight="1" x14ac:dyDescent="0.2">
      <c r="J73" s="68"/>
    </row>
    <row r="74" spans="1:11" ht="15.2" customHeight="1" x14ac:dyDescent="0.2">
      <c r="J74" s="68"/>
    </row>
    <row r="75" spans="1:11" ht="15.2" customHeight="1" x14ac:dyDescent="0.2">
      <c r="J75" s="68"/>
    </row>
    <row r="76" spans="1:11" ht="15.2" customHeight="1" x14ac:dyDescent="0.2">
      <c r="J76" s="68"/>
    </row>
    <row r="77" spans="1:11" ht="15.2" customHeight="1" x14ac:dyDescent="0.2">
      <c r="J77" s="68"/>
    </row>
    <row r="78" spans="1:11" ht="15.2" customHeight="1" x14ac:dyDescent="0.2">
      <c r="J78" s="68"/>
    </row>
    <row r="79" spans="1:11" ht="15.2" customHeight="1" x14ac:dyDescent="0.2">
      <c r="J79" s="68"/>
    </row>
    <row r="80" spans="1:11" ht="15.2" customHeight="1" x14ac:dyDescent="0.2">
      <c r="J80" s="68"/>
    </row>
    <row r="81" spans="10:10" ht="15.2" customHeight="1" x14ac:dyDescent="0.2">
      <c r="J81" s="68"/>
    </row>
    <row r="82" spans="10:10" ht="15.2" customHeight="1" x14ac:dyDescent="0.2">
      <c r="J82" s="68"/>
    </row>
    <row r="83" spans="10:10" ht="15.2" customHeight="1" x14ac:dyDescent="0.2">
      <c r="J83" s="68"/>
    </row>
    <row r="84" spans="10:10" ht="15.2" customHeight="1" x14ac:dyDescent="0.2">
      <c r="J84" s="68"/>
    </row>
    <row r="85" spans="10:10" ht="15.2" customHeight="1" x14ac:dyDescent="0.2">
      <c r="J85" s="68"/>
    </row>
    <row r="86" spans="10:10" ht="15.2" customHeight="1" x14ac:dyDescent="0.2">
      <c r="J86" s="68"/>
    </row>
    <row r="87" spans="10:10" ht="15.2" customHeight="1" x14ac:dyDescent="0.2">
      <c r="J87" s="68"/>
    </row>
    <row r="88" spans="10:10" ht="15.2" customHeight="1" x14ac:dyDescent="0.2">
      <c r="J88" s="68"/>
    </row>
    <row r="89" spans="10:10" ht="15.2" customHeight="1" x14ac:dyDescent="0.2">
      <c r="J89" s="68"/>
    </row>
    <row r="90" spans="10:10" ht="15.2" customHeight="1" x14ac:dyDescent="0.2">
      <c r="J90" s="68"/>
    </row>
    <row r="91" spans="10:10" ht="15.2" customHeight="1" x14ac:dyDescent="0.2">
      <c r="J91" s="68"/>
    </row>
    <row r="92" spans="10:10" ht="15.2" customHeight="1" x14ac:dyDescent="0.2">
      <c r="J92" s="68"/>
    </row>
    <row r="93" spans="10:10" ht="15.2" customHeight="1" x14ac:dyDescent="0.2">
      <c r="J93" s="68"/>
    </row>
    <row r="94" spans="10:10" ht="15.2" customHeight="1" x14ac:dyDescent="0.2">
      <c r="J94" s="68"/>
    </row>
    <row r="95" spans="10:10" ht="15.2" customHeight="1" x14ac:dyDescent="0.2">
      <c r="J95" s="68"/>
    </row>
    <row r="96" spans="10:10" ht="15.2" customHeight="1" x14ac:dyDescent="0.2">
      <c r="J96" s="68"/>
    </row>
    <row r="97" spans="1:10" ht="15.2" customHeight="1" x14ac:dyDescent="0.2">
      <c r="J97" s="68"/>
    </row>
    <row r="98" spans="1:10" ht="15.2" customHeight="1" x14ac:dyDescent="0.2">
      <c r="J98" s="68"/>
    </row>
    <row r="99" spans="1:10" ht="15.2" customHeight="1" x14ac:dyDescent="0.2">
      <c r="J99" s="68"/>
    </row>
    <row r="100" spans="1:10" ht="15.2" hidden="1" customHeight="1" x14ac:dyDescent="0.25">
      <c r="A100" s="425" t="s">
        <v>46</v>
      </c>
      <c r="B100" s="425"/>
      <c r="J100" s="68"/>
    </row>
    <row r="101" spans="1:10" ht="15.2" hidden="1" customHeight="1" x14ac:dyDescent="0.2">
      <c r="J101" s="68"/>
    </row>
    <row r="102" spans="1:10" ht="21.95" hidden="1" customHeight="1" x14ac:dyDescent="0.2">
      <c r="A102" s="124">
        <v>1</v>
      </c>
      <c r="B102" s="413" t="s">
        <v>47</v>
      </c>
      <c r="C102" s="413"/>
      <c r="D102" s="413"/>
      <c r="E102" s="413"/>
      <c r="F102" s="413"/>
      <c r="J102" s="68"/>
    </row>
    <row r="103" spans="1:10" ht="21.95" hidden="1" customHeight="1" x14ac:dyDescent="0.2">
      <c r="A103" s="124">
        <v>2</v>
      </c>
      <c r="B103" s="413" t="s">
        <v>48</v>
      </c>
      <c r="C103" s="413"/>
      <c r="D103" s="413"/>
      <c r="E103" s="413"/>
      <c r="F103" s="413"/>
      <c r="J103" s="68"/>
    </row>
    <row r="104" spans="1:10" ht="21.95" hidden="1" customHeight="1" x14ac:dyDescent="0.2">
      <c r="A104" s="124">
        <v>3</v>
      </c>
      <c r="B104" s="413" t="s">
        <v>49</v>
      </c>
      <c r="C104" s="413"/>
      <c r="D104" s="413"/>
      <c r="E104" s="413"/>
      <c r="F104" s="413"/>
      <c r="J104" s="68"/>
    </row>
    <row r="105" spans="1:10" ht="21.95" hidden="1" customHeight="1" x14ac:dyDescent="0.2">
      <c r="A105" s="124">
        <v>4</v>
      </c>
      <c r="B105" s="413" t="s">
        <v>50</v>
      </c>
      <c r="C105" s="413"/>
      <c r="D105" s="413"/>
      <c r="E105" s="413"/>
      <c r="F105" s="413"/>
      <c r="J105" s="68"/>
    </row>
    <row r="106" spans="1:10" ht="21.95" hidden="1" customHeight="1" x14ac:dyDescent="0.2">
      <c r="A106" s="124">
        <v>5</v>
      </c>
      <c r="B106" s="413" t="s">
        <v>51</v>
      </c>
      <c r="C106" s="413"/>
      <c r="D106" s="413"/>
      <c r="E106" s="413"/>
      <c r="F106" s="413"/>
      <c r="J106" s="68"/>
    </row>
    <row r="107" spans="1:10" ht="21.95" hidden="1" customHeight="1" x14ac:dyDescent="0.2">
      <c r="A107" s="124">
        <v>6</v>
      </c>
      <c r="B107" s="413" t="s">
        <v>52</v>
      </c>
      <c r="C107" s="413"/>
      <c r="D107" s="413"/>
      <c r="E107" s="413"/>
      <c r="F107" s="413"/>
      <c r="J107" s="68"/>
    </row>
    <row r="108" spans="1:10" ht="21.95" hidden="1" customHeight="1" x14ac:dyDescent="0.2">
      <c r="A108" s="124">
        <v>7</v>
      </c>
      <c r="B108" s="413" t="s">
        <v>53</v>
      </c>
      <c r="C108" s="413"/>
      <c r="D108" s="413"/>
      <c r="E108" s="413"/>
      <c r="F108" s="413"/>
      <c r="J108" s="68"/>
    </row>
    <row r="109" spans="1:10" ht="21.95" hidden="1" customHeight="1" x14ac:dyDescent="0.25">
      <c r="A109" s="125"/>
      <c r="B109" s="126" t="s">
        <v>3</v>
      </c>
      <c r="C109" s="98"/>
      <c r="D109" s="98"/>
      <c r="E109" s="98"/>
      <c r="F109" s="98"/>
      <c r="J109" s="68"/>
    </row>
    <row r="110" spans="1:10" ht="21.95" hidden="1" customHeight="1" x14ac:dyDescent="0.2">
      <c r="A110" s="50" t="s">
        <v>54</v>
      </c>
      <c r="B110" s="50"/>
      <c r="C110" s="50"/>
      <c r="D110" s="50"/>
      <c r="E110" s="50"/>
      <c r="F110" s="50"/>
      <c r="J110" s="68"/>
    </row>
    <row r="111" spans="1:10" ht="21.95" hidden="1" customHeight="1" x14ac:dyDescent="0.2">
      <c r="A111" s="50" t="s">
        <v>55</v>
      </c>
      <c r="B111" s="50"/>
      <c r="C111" s="50"/>
      <c r="D111" s="50"/>
      <c r="E111" s="50"/>
      <c r="F111" s="50"/>
      <c r="J111" s="68"/>
    </row>
    <row r="112" spans="1:10" ht="21.95" hidden="1" customHeight="1" x14ac:dyDescent="0.2">
      <c r="A112" s="50"/>
      <c r="B112" s="50"/>
      <c r="C112" s="50"/>
      <c r="D112" s="50"/>
      <c r="E112" s="50"/>
      <c r="F112" s="50"/>
      <c r="J112" s="68"/>
    </row>
    <row r="113" spans="1:10" ht="21.95" hidden="1" customHeight="1" x14ac:dyDescent="0.25">
      <c r="A113" s="50" t="s">
        <v>56</v>
      </c>
      <c r="B113" s="50"/>
      <c r="C113" s="418"/>
      <c r="D113" s="418"/>
      <c r="E113" s="50"/>
      <c r="F113" s="50"/>
      <c r="J113" s="68"/>
    </row>
    <row r="114" spans="1:10" ht="21.95" hidden="1" customHeight="1" x14ac:dyDescent="0.2">
      <c r="A114" s="56"/>
      <c r="B114" s="109" t="s">
        <v>18</v>
      </c>
      <c r="C114" s="60" t="s">
        <v>19</v>
      </c>
      <c r="D114" s="56"/>
      <c r="E114" s="56"/>
      <c r="F114" s="56"/>
      <c r="J114" s="68"/>
    </row>
    <row r="115" spans="1:10" ht="21.95" hidden="1" customHeight="1" x14ac:dyDescent="0.2">
      <c r="A115" s="50"/>
      <c r="B115" s="50"/>
      <c r="C115" s="50"/>
      <c r="D115" s="50"/>
      <c r="E115" s="50"/>
      <c r="F115" s="50"/>
      <c r="J115" s="68"/>
    </row>
    <row r="116" spans="1:10" ht="21.95" hidden="1" customHeight="1" x14ac:dyDescent="0.2">
      <c r="A116" s="50"/>
      <c r="B116" s="50"/>
      <c r="C116" s="50"/>
      <c r="D116" s="50"/>
      <c r="E116" s="50"/>
      <c r="F116" s="50"/>
      <c r="J116" s="68"/>
    </row>
    <row r="117" spans="1:10" ht="21.95" hidden="1" customHeight="1" x14ac:dyDescent="0.2">
      <c r="A117" s="419" t="e">
        <f>#REF!</f>
        <v>#REF!</v>
      </c>
      <c r="B117" s="419"/>
      <c r="C117" s="112"/>
      <c r="D117" s="104"/>
      <c r="E117" s="104"/>
      <c r="F117" s="104"/>
      <c r="J117" s="68"/>
    </row>
    <row r="118" spans="1:10" ht="21.95" hidden="1" customHeight="1" x14ac:dyDescent="0.2">
      <c r="A118" s="104"/>
      <c r="B118" s="420"/>
      <c r="C118" s="112"/>
      <c r="D118" s="104"/>
      <c r="E118" s="104"/>
      <c r="F118" s="104"/>
      <c r="J118" s="68"/>
    </row>
    <row r="119" spans="1:10" ht="21.95" hidden="1" customHeight="1" x14ac:dyDescent="0.2">
      <c r="A119" s="104"/>
      <c r="B119" s="420"/>
      <c r="C119" s="112" t="e">
        <f>IF(#REF!&lt;&gt;1,"",IF(#REF!=0,"",IF(#REF!=8,"Восемнадцать ",IF(#REF!=9,"Девятнадцать ",""))))</f>
        <v>#REF!</v>
      </c>
      <c r="D119" s="104"/>
      <c r="E119" s="104"/>
      <c r="F119" s="104"/>
      <c r="J119" s="68"/>
    </row>
    <row r="120" spans="1:10" ht="21.95" hidden="1" customHeight="1" x14ac:dyDescent="0.2">
      <c r="A120" s="104"/>
      <c r="B120" s="420"/>
      <c r="C120" s="112"/>
      <c r="D120" s="104"/>
      <c r="E120" s="104"/>
      <c r="F120" s="104"/>
      <c r="J120" s="68"/>
    </row>
    <row r="121" spans="1:10" ht="21.95" hidden="1" customHeight="1" x14ac:dyDescent="0.2">
      <c r="A121" s="104"/>
      <c r="B121" s="420"/>
      <c r="C121" s="112"/>
      <c r="D121" s="104"/>
      <c r="E121" s="104"/>
      <c r="F121" s="104"/>
      <c r="J121" s="68"/>
    </row>
    <row r="122" spans="1:10" ht="21.95" hidden="1" customHeight="1" x14ac:dyDescent="0.2">
      <c r="A122" s="104"/>
      <c r="B122" s="420"/>
      <c r="C122" s="111" t="e">
        <f>IF(#REF!&lt;&gt;1,"",IF(#REF!=0,"Десять ",IF(#REF!=8,"Восемнадцать ",IF(#REF!=9,"Девятнадцать ",""))))</f>
        <v>#REF!</v>
      </c>
      <c r="D122" s="104"/>
      <c r="E122" s="104"/>
      <c r="F122" s="104"/>
      <c r="J122" s="68"/>
    </row>
    <row r="123" spans="1:10" ht="21.95" hidden="1" customHeight="1" x14ac:dyDescent="0.2">
      <c r="A123" s="104"/>
      <c r="B123" s="420"/>
      <c r="C123" s="112"/>
      <c r="D123" s="104"/>
      <c r="E123" s="104"/>
      <c r="F123" s="104"/>
      <c r="J123" s="68"/>
    </row>
    <row r="124" spans="1:10" ht="21.95" hidden="1" customHeight="1" x14ac:dyDescent="0.2">
      <c r="A124" s="116" t="e">
        <f>REPLACE(LOWER(CONCATENATE(#REF!,#REF!,#REF!,#REF!,#REF!,#REF!,#REF!,#REF!,#REF!,#REF!,C119,#REF!,#REF!,#REF!,#REF!,C120,#REF!,#REF!,#REF!,#REF!,#REF!,#REF!,#REF!,C122,#REF!,#REF!,#REF!,#REF!,C123,#REF!)),1,1,LEFT(CONCATENATE(#REF!,#REF!,#REF!,#REF!,#REF!,#REF!,#REF!,#REF!,#REF!,#REF!,C119,#REF!,#REF!,#REF!,#REF!,C120,#REF!,#REF!,#REF!,#REF!,#REF!,#REF!,#REF!,C122,#REF!,#REF!,#REF!,#REF!,C123,#REF!),1))</f>
        <v>#REF!</v>
      </c>
      <c r="B124" s="116"/>
      <c r="C124" s="116"/>
      <c r="D124" s="116"/>
      <c r="E124" s="104"/>
      <c r="F124" s="104"/>
      <c r="J124" s="68"/>
    </row>
    <row r="125" spans="1:10" ht="21.95" hidden="1" customHeight="1" x14ac:dyDescent="0.2">
      <c r="A125" s="104"/>
      <c r="B125" s="104"/>
      <c r="C125" s="112"/>
      <c r="D125" s="104"/>
      <c r="E125" s="104"/>
      <c r="F125" s="104"/>
      <c r="J125" s="68"/>
    </row>
    <row r="126" spans="1:10" ht="21.95" hidden="1" customHeight="1" x14ac:dyDescent="0.2">
      <c r="A126" s="116" t="e">
        <f>CONCATENATE(#REF!,#REF!)</f>
        <v>#REF!</v>
      </c>
      <c r="B126" s="116"/>
      <c r="C126" s="112"/>
      <c r="D126" s="104"/>
      <c r="E126" s="104"/>
      <c r="F126" s="104"/>
      <c r="J126" s="68"/>
    </row>
    <row r="127" spans="1:10" ht="21.95" hidden="1" customHeight="1" x14ac:dyDescent="0.2">
      <c r="A127" s="421" t="e">
        <f>A128-INT(A128)</f>
        <v>#REF!</v>
      </c>
      <c r="B127" s="421"/>
      <c r="C127" s="112"/>
      <c r="D127" s="104"/>
      <c r="E127" s="104"/>
      <c r="F127" s="104"/>
      <c r="J127" s="68"/>
    </row>
    <row r="128" spans="1:10" ht="21.95" hidden="1" customHeight="1" x14ac:dyDescent="0.2">
      <c r="A128" s="417" t="e">
        <f>#REF!</f>
        <v>#REF!</v>
      </c>
      <c r="B128" s="417"/>
      <c r="C128" s="112"/>
      <c r="D128" s="104"/>
      <c r="E128" s="104"/>
      <c r="F128" s="104"/>
      <c r="J128" s="68"/>
    </row>
    <row r="129" spans="1:10" ht="21.95" customHeight="1" collapsed="1" x14ac:dyDescent="0.2">
      <c r="A129" s="50"/>
      <c r="B129" s="50"/>
      <c r="C129" s="50"/>
      <c r="D129" s="50"/>
      <c r="E129" s="50"/>
      <c r="F129" s="50"/>
      <c r="J129" s="68"/>
    </row>
  </sheetData>
  <mergeCells count="82">
    <mergeCell ref="B28:E28"/>
    <mergeCell ref="G28:I28"/>
    <mergeCell ref="G24:I24"/>
    <mergeCell ref="B25:E25"/>
    <mergeCell ref="G25:I25"/>
    <mergeCell ref="B26:E26"/>
    <mergeCell ref="B24:E24"/>
    <mergeCell ref="B27:E27"/>
    <mergeCell ref="G27:I27"/>
    <mergeCell ref="A128:B128"/>
    <mergeCell ref="A117:B117"/>
    <mergeCell ref="B39:E39"/>
    <mergeCell ref="G39:I39"/>
    <mergeCell ref="B118:B123"/>
    <mergeCell ref="A127:B127"/>
    <mergeCell ref="B45:E45"/>
    <mergeCell ref="G45:I45"/>
    <mergeCell ref="G44:I44"/>
    <mergeCell ref="B108:F108"/>
    <mergeCell ref="C113:D113"/>
    <mergeCell ref="A56:B56"/>
    <mergeCell ref="B103:F103"/>
    <mergeCell ref="B104:F104"/>
    <mergeCell ref="B46:E46"/>
    <mergeCell ref="B47:E47"/>
    <mergeCell ref="B29:E29"/>
    <mergeCell ref="B30:E30"/>
    <mergeCell ref="B42:E42"/>
    <mergeCell ref="B44:E44"/>
    <mergeCell ref="B43:E43"/>
    <mergeCell ref="B38:E38"/>
    <mergeCell ref="B33:E33"/>
    <mergeCell ref="B32:E32"/>
    <mergeCell ref="A67:B67"/>
    <mergeCell ref="A100:B100"/>
    <mergeCell ref="B102:F102"/>
    <mergeCell ref="B34:E34"/>
    <mergeCell ref="B36:E36"/>
    <mergeCell ref="B35:E35"/>
    <mergeCell ref="B41:E41"/>
    <mergeCell ref="C54:D54"/>
    <mergeCell ref="B48:E48"/>
    <mergeCell ref="G35:I35"/>
    <mergeCell ref="B37:E37"/>
    <mergeCell ref="G36:I36"/>
    <mergeCell ref="G30:I30"/>
    <mergeCell ref="B31:E31"/>
    <mergeCell ref="G31:I31"/>
    <mergeCell ref="G34:I34"/>
    <mergeCell ref="G33:I33"/>
    <mergeCell ref="B21:E21"/>
    <mergeCell ref="G21:I21"/>
    <mergeCell ref="B105:F105"/>
    <mergeCell ref="B106:F106"/>
    <mergeCell ref="B107:F107"/>
    <mergeCell ref="G26:I26"/>
    <mergeCell ref="G46:I46"/>
    <mergeCell ref="G37:I37"/>
    <mergeCell ref="G41:I41"/>
    <mergeCell ref="G48:I48"/>
    <mergeCell ref="G29:I29"/>
    <mergeCell ref="G40:I40"/>
    <mergeCell ref="G42:I42"/>
    <mergeCell ref="G43:I43"/>
    <mergeCell ref="G38:I38"/>
    <mergeCell ref="G32:I32"/>
    <mergeCell ref="G47:I47"/>
    <mergeCell ref="C8:F8"/>
    <mergeCell ref="A9:B9"/>
    <mergeCell ref="C10:G10"/>
    <mergeCell ref="B16:E16"/>
    <mergeCell ref="G16:I16"/>
    <mergeCell ref="B17:E17"/>
    <mergeCell ref="G17:I17"/>
    <mergeCell ref="B20:E20"/>
    <mergeCell ref="G20:I20"/>
    <mergeCell ref="B18:E18"/>
    <mergeCell ref="G18:I18"/>
    <mergeCell ref="B23:E23"/>
    <mergeCell ref="B19:E19"/>
    <mergeCell ref="G19:I19"/>
    <mergeCell ref="B40:E40"/>
  </mergeCells>
  <pageMargins left="0.70866141732283472" right="0.11811023622047245" top="0.55118110236220474" bottom="0.55118110236220474" header="0.31496062992125984" footer="0.31496062992125984"/>
  <pageSetup paperSize="9" scale="9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FF0000"/>
  </sheetPr>
  <dimension ref="A1:K55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C61" sqref="C61"/>
    </sheetView>
  </sheetViews>
  <sheetFormatPr defaultRowHeight="12.75" outlineLevelRow="1" x14ac:dyDescent="0.2"/>
  <cols>
    <col min="1" max="1" width="4.85546875" style="17" customWidth="1"/>
    <col min="2" max="2" width="38.42578125" style="17" customWidth="1"/>
    <col min="3" max="3" width="7.85546875" style="17" customWidth="1"/>
    <col min="4" max="4" width="12.42578125" style="17" customWidth="1"/>
    <col min="5" max="5" width="9.85546875" style="17" customWidth="1"/>
    <col min="6" max="6" width="12.5703125" style="17" customWidth="1"/>
    <col min="7" max="7" width="12.85546875" style="20" customWidth="1"/>
    <col min="8" max="8" width="11.28515625" style="17" bestFit="1" customWidth="1"/>
    <col min="9" max="256" width="9.140625" style="17"/>
    <col min="257" max="257" width="4.85546875" style="17" customWidth="1"/>
    <col min="258" max="258" width="38.42578125" style="17" customWidth="1"/>
    <col min="259" max="259" width="7.85546875" style="17" customWidth="1"/>
    <col min="260" max="261" width="12.42578125" style="17" customWidth="1"/>
    <col min="262" max="262" width="12.5703125" style="17" customWidth="1"/>
    <col min="263" max="263" width="12.85546875" style="17" customWidth="1"/>
    <col min="264" max="512" width="9.140625" style="17"/>
    <col min="513" max="513" width="4.85546875" style="17" customWidth="1"/>
    <col min="514" max="514" width="38.42578125" style="17" customWidth="1"/>
    <col min="515" max="515" width="7.85546875" style="17" customWidth="1"/>
    <col min="516" max="517" width="12.42578125" style="17" customWidth="1"/>
    <col min="518" max="518" width="12.5703125" style="17" customWidth="1"/>
    <col min="519" max="519" width="12.85546875" style="17" customWidth="1"/>
    <col min="520" max="768" width="9.140625" style="17"/>
    <col min="769" max="769" width="4.85546875" style="17" customWidth="1"/>
    <col min="770" max="770" width="38.42578125" style="17" customWidth="1"/>
    <col min="771" max="771" width="7.85546875" style="17" customWidth="1"/>
    <col min="772" max="773" width="12.42578125" style="17" customWidth="1"/>
    <col min="774" max="774" width="12.5703125" style="17" customWidth="1"/>
    <col min="775" max="775" width="12.85546875" style="17" customWidth="1"/>
    <col min="776" max="1024" width="9.140625" style="17"/>
    <col min="1025" max="1025" width="4.85546875" style="17" customWidth="1"/>
    <col min="1026" max="1026" width="38.42578125" style="17" customWidth="1"/>
    <col min="1027" max="1027" width="7.85546875" style="17" customWidth="1"/>
    <col min="1028" max="1029" width="12.42578125" style="17" customWidth="1"/>
    <col min="1030" max="1030" width="12.5703125" style="17" customWidth="1"/>
    <col min="1031" max="1031" width="12.85546875" style="17" customWidth="1"/>
    <col min="1032" max="1280" width="9.140625" style="17"/>
    <col min="1281" max="1281" width="4.85546875" style="17" customWidth="1"/>
    <col min="1282" max="1282" width="38.42578125" style="17" customWidth="1"/>
    <col min="1283" max="1283" width="7.85546875" style="17" customWidth="1"/>
    <col min="1284" max="1285" width="12.42578125" style="17" customWidth="1"/>
    <col min="1286" max="1286" width="12.5703125" style="17" customWidth="1"/>
    <col min="1287" max="1287" width="12.85546875" style="17" customWidth="1"/>
    <col min="1288" max="1536" width="9.140625" style="17"/>
    <col min="1537" max="1537" width="4.85546875" style="17" customWidth="1"/>
    <col min="1538" max="1538" width="38.42578125" style="17" customWidth="1"/>
    <col min="1539" max="1539" width="7.85546875" style="17" customWidth="1"/>
    <col min="1540" max="1541" width="12.42578125" style="17" customWidth="1"/>
    <col min="1542" max="1542" width="12.5703125" style="17" customWidth="1"/>
    <col min="1543" max="1543" width="12.85546875" style="17" customWidth="1"/>
    <col min="1544" max="1792" width="9.140625" style="17"/>
    <col min="1793" max="1793" width="4.85546875" style="17" customWidth="1"/>
    <col min="1794" max="1794" width="38.42578125" style="17" customWidth="1"/>
    <col min="1795" max="1795" width="7.85546875" style="17" customWidth="1"/>
    <col min="1796" max="1797" width="12.42578125" style="17" customWidth="1"/>
    <col min="1798" max="1798" width="12.5703125" style="17" customWidth="1"/>
    <col min="1799" max="1799" width="12.85546875" style="17" customWidth="1"/>
    <col min="1800" max="2048" width="9.140625" style="17"/>
    <col min="2049" max="2049" width="4.85546875" style="17" customWidth="1"/>
    <col min="2050" max="2050" width="38.42578125" style="17" customWidth="1"/>
    <col min="2051" max="2051" width="7.85546875" style="17" customWidth="1"/>
    <col min="2052" max="2053" width="12.42578125" style="17" customWidth="1"/>
    <col min="2054" max="2054" width="12.5703125" style="17" customWidth="1"/>
    <col min="2055" max="2055" width="12.85546875" style="17" customWidth="1"/>
    <col min="2056" max="2304" width="9.140625" style="17"/>
    <col min="2305" max="2305" width="4.85546875" style="17" customWidth="1"/>
    <col min="2306" max="2306" width="38.42578125" style="17" customWidth="1"/>
    <col min="2307" max="2307" width="7.85546875" style="17" customWidth="1"/>
    <col min="2308" max="2309" width="12.42578125" style="17" customWidth="1"/>
    <col min="2310" max="2310" width="12.5703125" style="17" customWidth="1"/>
    <col min="2311" max="2311" width="12.85546875" style="17" customWidth="1"/>
    <col min="2312" max="2560" width="9.140625" style="17"/>
    <col min="2561" max="2561" width="4.85546875" style="17" customWidth="1"/>
    <col min="2562" max="2562" width="38.42578125" style="17" customWidth="1"/>
    <col min="2563" max="2563" width="7.85546875" style="17" customWidth="1"/>
    <col min="2564" max="2565" width="12.42578125" style="17" customWidth="1"/>
    <col min="2566" max="2566" width="12.5703125" style="17" customWidth="1"/>
    <col min="2567" max="2567" width="12.85546875" style="17" customWidth="1"/>
    <col min="2568" max="2816" width="9.140625" style="17"/>
    <col min="2817" max="2817" width="4.85546875" style="17" customWidth="1"/>
    <col min="2818" max="2818" width="38.42578125" style="17" customWidth="1"/>
    <col min="2819" max="2819" width="7.85546875" style="17" customWidth="1"/>
    <col min="2820" max="2821" width="12.42578125" style="17" customWidth="1"/>
    <col min="2822" max="2822" width="12.5703125" style="17" customWidth="1"/>
    <col min="2823" max="2823" width="12.85546875" style="17" customWidth="1"/>
    <col min="2824" max="3072" width="9.140625" style="17"/>
    <col min="3073" max="3073" width="4.85546875" style="17" customWidth="1"/>
    <col min="3074" max="3074" width="38.42578125" style="17" customWidth="1"/>
    <col min="3075" max="3075" width="7.85546875" style="17" customWidth="1"/>
    <col min="3076" max="3077" width="12.42578125" style="17" customWidth="1"/>
    <col min="3078" max="3078" width="12.5703125" style="17" customWidth="1"/>
    <col min="3079" max="3079" width="12.85546875" style="17" customWidth="1"/>
    <col min="3080" max="3328" width="9.140625" style="17"/>
    <col min="3329" max="3329" width="4.85546875" style="17" customWidth="1"/>
    <col min="3330" max="3330" width="38.42578125" style="17" customWidth="1"/>
    <col min="3331" max="3331" width="7.85546875" style="17" customWidth="1"/>
    <col min="3332" max="3333" width="12.42578125" style="17" customWidth="1"/>
    <col min="3334" max="3334" width="12.5703125" style="17" customWidth="1"/>
    <col min="3335" max="3335" width="12.85546875" style="17" customWidth="1"/>
    <col min="3336" max="3584" width="9.140625" style="17"/>
    <col min="3585" max="3585" width="4.85546875" style="17" customWidth="1"/>
    <col min="3586" max="3586" width="38.42578125" style="17" customWidth="1"/>
    <col min="3587" max="3587" width="7.85546875" style="17" customWidth="1"/>
    <col min="3588" max="3589" width="12.42578125" style="17" customWidth="1"/>
    <col min="3590" max="3590" width="12.5703125" style="17" customWidth="1"/>
    <col min="3591" max="3591" width="12.85546875" style="17" customWidth="1"/>
    <col min="3592" max="3840" width="9.140625" style="17"/>
    <col min="3841" max="3841" width="4.85546875" style="17" customWidth="1"/>
    <col min="3842" max="3842" width="38.42578125" style="17" customWidth="1"/>
    <col min="3843" max="3843" width="7.85546875" style="17" customWidth="1"/>
    <col min="3844" max="3845" width="12.42578125" style="17" customWidth="1"/>
    <col min="3846" max="3846" width="12.5703125" style="17" customWidth="1"/>
    <col min="3847" max="3847" width="12.85546875" style="17" customWidth="1"/>
    <col min="3848" max="4096" width="9.140625" style="17"/>
    <col min="4097" max="4097" width="4.85546875" style="17" customWidth="1"/>
    <col min="4098" max="4098" width="38.42578125" style="17" customWidth="1"/>
    <col min="4099" max="4099" width="7.85546875" style="17" customWidth="1"/>
    <col min="4100" max="4101" width="12.42578125" style="17" customWidth="1"/>
    <col min="4102" max="4102" width="12.5703125" style="17" customWidth="1"/>
    <col min="4103" max="4103" width="12.85546875" style="17" customWidth="1"/>
    <col min="4104" max="4352" width="9.140625" style="17"/>
    <col min="4353" max="4353" width="4.85546875" style="17" customWidth="1"/>
    <col min="4354" max="4354" width="38.42578125" style="17" customWidth="1"/>
    <col min="4355" max="4355" width="7.85546875" style="17" customWidth="1"/>
    <col min="4356" max="4357" width="12.42578125" style="17" customWidth="1"/>
    <col min="4358" max="4358" width="12.5703125" style="17" customWidth="1"/>
    <col min="4359" max="4359" width="12.85546875" style="17" customWidth="1"/>
    <col min="4360" max="4608" width="9.140625" style="17"/>
    <col min="4609" max="4609" width="4.85546875" style="17" customWidth="1"/>
    <col min="4610" max="4610" width="38.42578125" style="17" customWidth="1"/>
    <col min="4611" max="4611" width="7.85546875" style="17" customWidth="1"/>
    <col min="4612" max="4613" width="12.42578125" style="17" customWidth="1"/>
    <col min="4614" max="4614" width="12.5703125" style="17" customWidth="1"/>
    <col min="4615" max="4615" width="12.85546875" style="17" customWidth="1"/>
    <col min="4616" max="4864" width="9.140625" style="17"/>
    <col min="4865" max="4865" width="4.85546875" style="17" customWidth="1"/>
    <col min="4866" max="4866" width="38.42578125" style="17" customWidth="1"/>
    <col min="4867" max="4867" width="7.85546875" style="17" customWidth="1"/>
    <col min="4868" max="4869" width="12.42578125" style="17" customWidth="1"/>
    <col min="4870" max="4870" width="12.5703125" style="17" customWidth="1"/>
    <col min="4871" max="4871" width="12.85546875" style="17" customWidth="1"/>
    <col min="4872" max="5120" width="9.140625" style="17"/>
    <col min="5121" max="5121" width="4.85546875" style="17" customWidth="1"/>
    <col min="5122" max="5122" width="38.42578125" style="17" customWidth="1"/>
    <col min="5123" max="5123" width="7.85546875" style="17" customWidth="1"/>
    <col min="5124" max="5125" width="12.42578125" style="17" customWidth="1"/>
    <col min="5126" max="5126" width="12.5703125" style="17" customWidth="1"/>
    <col min="5127" max="5127" width="12.85546875" style="17" customWidth="1"/>
    <col min="5128" max="5376" width="9.140625" style="17"/>
    <col min="5377" max="5377" width="4.85546875" style="17" customWidth="1"/>
    <col min="5378" max="5378" width="38.42578125" style="17" customWidth="1"/>
    <col min="5379" max="5379" width="7.85546875" style="17" customWidth="1"/>
    <col min="5380" max="5381" width="12.42578125" style="17" customWidth="1"/>
    <col min="5382" max="5382" width="12.5703125" style="17" customWidth="1"/>
    <col min="5383" max="5383" width="12.85546875" style="17" customWidth="1"/>
    <col min="5384" max="5632" width="9.140625" style="17"/>
    <col min="5633" max="5633" width="4.85546875" style="17" customWidth="1"/>
    <col min="5634" max="5634" width="38.42578125" style="17" customWidth="1"/>
    <col min="5635" max="5635" width="7.85546875" style="17" customWidth="1"/>
    <col min="5636" max="5637" width="12.42578125" style="17" customWidth="1"/>
    <col min="5638" max="5638" width="12.5703125" style="17" customWidth="1"/>
    <col min="5639" max="5639" width="12.85546875" style="17" customWidth="1"/>
    <col min="5640" max="5888" width="9.140625" style="17"/>
    <col min="5889" max="5889" width="4.85546875" style="17" customWidth="1"/>
    <col min="5890" max="5890" width="38.42578125" style="17" customWidth="1"/>
    <col min="5891" max="5891" width="7.85546875" style="17" customWidth="1"/>
    <col min="5892" max="5893" width="12.42578125" style="17" customWidth="1"/>
    <col min="5894" max="5894" width="12.5703125" style="17" customWidth="1"/>
    <col min="5895" max="5895" width="12.85546875" style="17" customWidth="1"/>
    <col min="5896" max="6144" width="9.140625" style="17"/>
    <col min="6145" max="6145" width="4.85546875" style="17" customWidth="1"/>
    <col min="6146" max="6146" width="38.42578125" style="17" customWidth="1"/>
    <col min="6147" max="6147" width="7.85546875" style="17" customWidth="1"/>
    <col min="6148" max="6149" width="12.42578125" style="17" customWidth="1"/>
    <col min="6150" max="6150" width="12.5703125" style="17" customWidth="1"/>
    <col min="6151" max="6151" width="12.85546875" style="17" customWidth="1"/>
    <col min="6152" max="6400" width="9.140625" style="17"/>
    <col min="6401" max="6401" width="4.85546875" style="17" customWidth="1"/>
    <col min="6402" max="6402" width="38.42578125" style="17" customWidth="1"/>
    <col min="6403" max="6403" width="7.85546875" style="17" customWidth="1"/>
    <col min="6404" max="6405" width="12.42578125" style="17" customWidth="1"/>
    <col min="6406" max="6406" width="12.5703125" style="17" customWidth="1"/>
    <col min="6407" max="6407" width="12.85546875" style="17" customWidth="1"/>
    <col min="6408" max="6656" width="9.140625" style="17"/>
    <col min="6657" max="6657" width="4.85546875" style="17" customWidth="1"/>
    <col min="6658" max="6658" width="38.42578125" style="17" customWidth="1"/>
    <col min="6659" max="6659" width="7.85546875" style="17" customWidth="1"/>
    <col min="6660" max="6661" width="12.42578125" style="17" customWidth="1"/>
    <col min="6662" max="6662" width="12.5703125" style="17" customWidth="1"/>
    <col min="6663" max="6663" width="12.85546875" style="17" customWidth="1"/>
    <col min="6664" max="6912" width="9.140625" style="17"/>
    <col min="6913" max="6913" width="4.85546875" style="17" customWidth="1"/>
    <col min="6914" max="6914" width="38.42578125" style="17" customWidth="1"/>
    <col min="6915" max="6915" width="7.85546875" style="17" customWidth="1"/>
    <col min="6916" max="6917" width="12.42578125" style="17" customWidth="1"/>
    <col min="6918" max="6918" width="12.5703125" style="17" customWidth="1"/>
    <col min="6919" max="6919" width="12.85546875" style="17" customWidth="1"/>
    <col min="6920" max="7168" width="9.140625" style="17"/>
    <col min="7169" max="7169" width="4.85546875" style="17" customWidth="1"/>
    <col min="7170" max="7170" width="38.42578125" style="17" customWidth="1"/>
    <col min="7171" max="7171" width="7.85546875" style="17" customWidth="1"/>
    <col min="7172" max="7173" width="12.42578125" style="17" customWidth="1"/>
    <col min="7174" max="7174" width="12.5703125" style="17" customWidth="1"/>
    <col min="7175" max="7175" width="12.85546875" style="17" customWidth="1"/>
    <col min="7176" max="7424" width="9.140625" style="17"/>
    <col min="7425" max="7425" width="4.85546875" style="17" customWidth="1"/>
    <col min="7426" max="7426" width="38.42578125" style="17" customWidth="1"/>
    <col min="7427" max="7427" width="7.85546875" style="17" customWidth="1"/>
    <col min="7428" max="7429" width="12.42578125" style="17" customWidth="1"/>
    <col min="7430" max="7430" width="12.5703125" style="17" customWidth="1"/>
    <col min="7431" max="7431" width="12.85546875" style="17" customWidth="1"/>
    <col min="7432" max="7680" width="9.140625" style="17"/>
    <col min="7681" max="7681" width="4.85546875" style="17" customWidth="1"/>
    <col min="7682" max="7682" width="38.42578125" style="17" customWidth="1"/>
    <col min="7683" max="7683" width="7.85546875" style="17" customWidth="1"/>
    <col min="7684" max="7685" width="12.42578125" style="17" customWidth="1"/>
    <col min="7686" max="7686" width="12.5703125" style="17" customWidth="1"/>
    <col min="7687" max="7687" width="12.85546875" style="17" customWidth="1"/>
    <col min="7688" max="7936" width="9.140625" style="17"/>
    <col min="7937" max="7937" width="4.85546875" style="17" customWidth="1"/>
    <col min="7938" max="7938" width="38.42578125" style="17" customWidth="1"/>
    <col min="7939" max="7939" width="7.85546875" style="17" customWidth="1"/>
    <col min="7940" max="7941" width="12.42578125" style="17" customWidth="1"/>
    <col min="7942" max="7942" width="12.5703125" style="17" customWidth="1"/>
    <col min="7943" max="7943" width="12.85546875" style="17" customWidth="1"/>
    <col min="7944" max="8192" width="9.140625" style="17"/>
    <col min="8193" max="8193" width="4.85546875" style="17" customWidth="1"/>
    <col min="8194" max="8194" width="38.42578125" style="17" customWidth="1"/>
    <col min="8195" max="8195" width="7.85546875" style="17" customWidth="1"/>
    <col min="8196" max="8197" width="12.42578125" style="17" customWidth="1"/>
    <col min="8198" max="8198" width="12.5703125" style="17" customWidth="1"/>
    <col min="8199" max="8199" width="12.85546875" style="17" customWidth="1"/>
    <col min="8200" max="8448" width="9.140625" style="17"/>
    <col min="8449" max="8449" width="4.85546875" style="17" customWidth="1"/>
    <col min="8450" max="8450" width="38.42578125" style="17" customWidth="1"/>
    <col min="8451" max="8451" width="7.85546875" style="17" customWidth="1"/>
    <col min="8452" max="8453" width="12.42578125" style="17" customWidth="1"/>
    <col min="8454" max="8454" width="12.5703125" style="17" customWidth="1"/>
    <col min="8455" max="8455" width="12.85546875" style="17" customWidth="1"/>
    <col min="8456" max="8704" width="9.140625" style="17"/>
    <col min="8705" max="8705" width="4.85546875" style="17" customWidth="1"/>
    <col min="8706" max="8706" width="38.42578125" style="17" customWidth="1"/>
    <col min="8707" max="8707" width="7.85546875" style="17" customWidth="1"/>
    <col min="8708" max="8709" width="12.42578125" style="17" customWidth="1"/>
    <col min="8710" max="8710" width="12.5703125" style="17" customWidth="1"/>
    <col min="8711" max="8711" width="12.85546875" style="17" customWidth="1"/>
    <col min="8712" max="8960" width="9.140625" style="17"/>
    <col min="8961" max="8961" width="4.85546875" style="17" customWidth="1"/>
    <col min="8962" max="8962" width="38.42578125" style="17" customWidth="1"/>
    <col min="8963" max="8963" width="7.85546875" style="17" customWidth="1"/>
    <col min="8964" max="8965" width="12.42578125" style="17" customWidth="1"/>
    <col min="8966" max="8966" width="12.5703125" style="17" customWidth="1"/>
    <col min="8967" max="8967" width="12.85546875" style="17" customWidth="1"/>
    <col min="8968" max="9216" width="9.140625" style="17"/>
    <col min="9217" max="9217" width="4.85546875" style="17" customWidth="1"/>
    <col min="9218" max="9218" width="38.42578125" style="17" customWidth="1"/>
    <col min="9219" max="9219" width="7.85546875" style="17" customWidth="1"/>
    <col min="9220" max="9221" width="12.42578125" style="17" customWidth="1"/>
    <col min="9222" max="9222" width="12.5703125" style="17" customWidth="1"/>
    <col min="9223" max="9223" width="12.85546875" style="17" customWidth="1"/>
    <col min="9224" max="9472" width="9.140625" style="17"/>
    <col min="9473" max="9473" width="4.85546875" style="17" customWidth="1"/>
    <col min="9474" max="9474" width="38.42578125" style="17" customWidth="1"/>
    <col min="9475" max="9475" width="7.85546875" style="17" customWidth="1"/>
    <col min="9476" max="9477" width="12.42578125" style="17" customWidth="1"/>
    <col min="9478" max="9478" width="12.5703125" style="17" customWidth="1"/>
    <col min="9479" max="9479" width="12.85546875" style="17" customWidth="1"/>
    <col min="9480" max="9728" width="9.140625" style="17"/>
    <col min="9729" max="9729" width="4.85546875" style="17" customWidth="1"/>
    <col min="9730" max="9730" width="38.42578125" style="17" customWidth="1"/>
    <col min="9731" max="9731" width="7.85546875" style="17" customWidth="1"/>
    <col min="9732" max="9733" width="12.42578125" style="17" customWidth="1"/>
    <col min="9734" max="9734" width="12.5703125" style="17" customWidth="1"/>
    <col min="9735" max="9735" width="12.85546875" style="17" customWidth="1"/>
    <col min="9736" max="9984" width="9.140625" style="17"/>
    <col min="9985" max="9985" width="4.85546875" style="17" customWidth="1"/>
    <col min="9986" max="9986" width="38.42578125" style="17" customWidth="1"/>
    <col min="9987" max="9987" width="7.85546875" style="17" customWidth="1"/>
    <col min="9988" max="9989" width="12.42578125" style="17" customWidth="1"/>
    <col min="9990" max="9990" width="12.5703125" style="17" customWidth="1"/>
    <col min="9991" max="9991" width="12.85546875" style="17" customWidth="1"/>
    <col min="9992" max="10240" width="9.140625" style="17"/>
    <col min="10241" max="10241" width="4.85546875" style="17" customWidth="1"/>
    <col min="10242" max="10242" width="38.42578125" style="17" customWidth="1"/>
    <col min="10243" max="10243" width="7.85546875" style="17" customWidth="1"/>
    <col min="10244" max="10245" width="12.42578125" style="17" customWidth="1"/>
    <col min="10246" max="10246" width="12.5703125" style="17" customWidth="1"/>
    <col min="10247" max="10247" width="12.85546875" style="17" customWidth="1"/>
    <col min="10248" max="10496" width="9.140625" style="17"/>
    <col min="10497" max="10497" width="4.85546875" style="17" customWidth="1"/>
    <col min="10498" max="10498" width="38.42578125" style="17" customWidth="1"/>
    <col min="10499" max="10499" width="7.85546875" style="17" customWidth="1"/>
    <col min="10500" max="10501" width="12.42578125" style="17" customWidth="1"/>
    <col min="10502" max="10502" width="12.5703125" style="17" customWidth="1"/>
    <col min="10503" max="10503" width="12.85546875" style="17" customWidth="1"/>
    <col min="10504" max="10752" width="9.140625" style="17"/>
    <col min="10753" max="10753" width="4.85546875" style="17" customWidth="1"/>
    <col min="10754" max="10754" width="38.42578125" style="17" customWidth="1"/>
    <col min="10755" max="10755" width="7.85546875" style="17" customWidth="1"/>
    <col min="10756" max="10757" width="12.42578125" style="17" customWidth="1"/>
    <col min="10758" max="10758" width="12.5703125" style="17" customWidth="1"/>
    <col min="10759" max="10759" width="12.85546875" style="17" customWidth="1"/>
    <col min="10760" max="11008" width="9.140625" style="17"/>
    <col min="11009" max="11009" width="4.85546875" style="17" customWidth="1"/>
    <col min="11010" max="11010" width="38.42578125" style="17" customWidth="1"/>
    <col min="11011" max="11011" width="7.85546875" style="17" customWidth="1"/>
    <col min="11012" max="11013" width="12.42578125" style="17" customWidth="1"/>
    <col min="11014" max="11014" width="12.5703125" style="17" customWidth="1"/>
    <col min="11015" max="11015" width="12.85546875" style="17" customWidth="1"/>
    <col min="11016" max="11264" width="9.140625" style="17"/>
    <col min="11265" max="11265" width="4.85546875" style="17" customWidth="1"/>
    <col min="11266" max="11266" width="38.42578125" style="17" customWidth="1"/>
    <col min="11267" max="11267" width="7.85546875" style="17" customWidth="1"/>
    <col min="11268" max="11269" width="12.42578125" style="17" customWidth="1"/>
    <col min="11270" max="11270" width="12.5703125" style="17" customWidth="1"/>
    <col min="11271" max="11271" width="12.85546875" style="17" customWidth="1"/>
    <col min="11272" max="11520" width="9.140625" style="17"/>
    <col min="11521" max="11521" width="4.85546875" style="17" customWidth="1"/>
    <col min="11522" max="11522" width="38.42578125" style="17" customWidth="1"/>
    <col min="11523" max="11523" width="7.85546875" style="17" customWidth="1"/>
    <col min="11524" max="11525" width="12.42578125" style="17" customWidth="1"/>
    <col min="11526" max="11526" width="12.5703125" style="17" customWidth="1"/>
    <col min="11527" max="11527" width="12.85546875" style="17" customWidth="1"/>
    <col min="11528" max="11776" width="9.140625" style="17"/>
    <col min="11777" max="11777" width="4.85546875" style="17" customWidth="1"/>
    <col min="11778" max="11778" width="38.42578125" style="17" customWidth="1"/>
    <col min="11779" max="11779" width="7.85546875" style="17" customWidth="1"/>
    <col min="11780" max="11781" width="12.42578125" style="17" customWidth="1"/>
    <col min="11782" max="11782" width="12.5703125" style="17" customWidth="1"/>
    <col min="11783" max="11783" width="12.85546875" style="17" customWidth="1"/>
    <col min="11784" max="12032" width="9.140625" style="17"/>
    <col min="12033" max="12033" width="4.85546875" style="17" customWidth="1"/>
    <col min="12034" max="12034" width="38.42578125" style="17" customWidth="1"/>
    <col min="12035" max="12035" width="7.85546875" style="17" customWidth="1"/>
    <col min="12036" max="12037" width="12.42578125" style="17" customWidth="1"/>
    <col min="12038" max="12038" width="12.5703125" style="17" customWidth="1"/>
    <col min="12039" max="12039" width="12.85546875" style="17" customWidth="1"/>
    <col min="12040" max="12288" width="9.140625" style="17"/>
    <col min="12289" max="12289" width="4.85546875" style="17" customWidth="1"/>
    <col min="12290" max="12290" width="38.42578125" style="17" customWidth="1"/>
    <col min="12291" max="12291" width="7.85546875" style="17" customWidth="1"/>
    <col min="12292" max="12293" width="12.42578125" style="17" customWidth="1"/>
    <col min="12294" max="12294" width="12.5703125" style="17" customWidth="1"/>
    <col min="12295" max="12295" width="12.85546875" style="17" customWidth="1"/>
    <col min="12296" max="12544" width="9.140625" style="17"/>
    <col min="12545" max="12545" width="4.85546875" style="17" customWidth="1"/>
    <col min="12546" max="12546" width="38.42578125" style="17" customWidth="1"/>
    <col min="12547" max="12547" width="7.85546875" style="17" customWidth="1"/>
    <col min="12548" max="12549" width="12.42578125" style="17" customWidth="1"/>
    <col min="12550" max="12550" width="12.5703125" style="17" customWidth="1"/>
    <col min="12551" max="12551" width="12.85546875" style="17" customWidth="1"/>
    <col min="12552" max="12800" width="9.140625" style="17"/>
    <col min="12801" max="12801" width="4.85546875" style="17" customWidth="1"/>
    <col min="12802" max="12802" width="38.42578125" style="17" customWidth="1"/>
    <col min="12803" max="12803" width="7.85546875" style="17" customWidth="1"/>
    <col min="12804" max="12805" width="12.42578125" style="17" customWidth="1"/>
    <col min="12806" max="12806" width="12.5703125" style="17" customWidth="1"/>
    <col min="12807" max="12807" width="12.85546875" style="17" customWidth="1"/>
    <col min="12808" max="13056" width="9.140625" style="17"/>
    <col min="13057" max="13057" width="4.85546875" style="17" customWidth="1"/>
    <col min="13058" max="13058" width="38.42578125" style="17" customWidth="1"/>
    <col min="13059" max="13059" width="7.85546875" style="17" customWidth="1"/>
    <col min="13060" max="13061" width="12.42578125" style="17" customWidth="1"/>
    <col min="13062" max="13062" width="12.5703125" style="17" customWidth="1"/>
    <col min="13063" max="13063" width="12.85546875" style="17" customWidth="1"/>
    <col min="13064" max="13312" width="9.140625" style="17"/>
    <col min="13313" max="13313" width="4.85546875" style="17" customWidth="1"/>
    <col min="13314" max="13314" width="38.42578125" style="17" customWidth="1"/>
    <col min="13315" max="13315" width="7.85546875" style="17" customWidth="1"/>
    <col min="13316" max="13317" width="12.42578125" style="17" customWidth="1"/>
    <col min="13318" max="13318" width="12.5703125" style="17" customWidth="1"/>
    <col min="13319" max="13319" width="12.85546875" style="17" customWidth="1"/>
    <col min="13320" max="13568" width="9.140625" style="17"/>
    <col min="13569" max="13569" width="4.85546875" style="17" customWidth="1"/>
    <col min="13570" max="13570" width="38.42578125" style="17" customWidth="1"/>
    <col min="13571" max="13571" width="7.85546875" style="17" customWidth="1"/>
    <col min="13572" max="13573" width="12.42578125" style="17" customWidth="1"/>
    <col min="13574" max="13574" width="12.5703125" style="17" customWidth="1"/>
    <col min="13575" max="13575" width="12.85546875" style="17" customWidth="1"/>
    <col min="13576" max="13824" width="9.140625" style="17"/>
    <col min="13825" max="13825" width="4.85546875" style="17" customWidth="1"/>
    <col min="13826" max="13826" width="38.42578125" style="17" customWidth="1"/>
    <col min="13827" max="13827" width="7.85546875" style="17" customWidth="1"/>
    <col min="13828" max="13829" width="12.42578125" style="17" customWidth="1"/>
    <col min="13830" max="13830" width="12.5703125" style="17" customWidth="1"/>
    <col min="13831" max="13831" width="12.85546875" style="17" customWidth="1"/>
    <col min="13832" max="14080" width="9.140625" style="17"/>
    <col min="14081" max="14081" width="4.85546875" style="17" customWidth="1"/>
    <col min="14082" max="14082" width="38.42578125" style="17" customWidth="1"/>
    <col min="14083" max="14083" width="7.85546875" style="17" customWidth="1"/>
    <col min="14084" max="14085" width="12.42578125" style="17" customWidth="1"/>
    <col min="14086" max="14086" width="12.5703125" style="17" customWidth="1"/>
    <col min="14087" max="14087" width="12.85546875" style="17" customWidth="1"/>
    <col min="14088" max="14336" width="9.140625" style="17"/>
    <col min="14337" max="14337" width="4.85546875" style="17" customWidth="1"/>
    <col min="14338" max="14338" width="38.42578125" style="17" customWidth="1"/>
    <col min="14339" max="14339" width="7.85546875" style="17" customWidth="1"/>
    <col min="14340" max="14341" width="12.42578125" style="17" customWidth="1"/>
    <col min="14342" max="14342" width="12.5703125" style="17" customWidth="1"/>
    <col min="14343" max="14343" width="12.85546875" style="17" customWidth="1"/>
    <col min="14344" max="14592" width="9.140625" style="17"/>
    <col min="14593" max="14593" width="4.85546875" style="17" customWidth="1"/>
    <col min="14594" max="14594" width="38.42578125" style="17" customWidth="1"/>
    <col min="14595" max="14595" width="7.85546875" style="17" customWidth="1"/>
    <col min="14596" max="14597" width="12.42578125" style="17" customWidth="1"/>
    <col min="14598" max="14598" width="12.5703125" style="17" customWidth="1"/>
    <col min="14599" max="14599" width="12.85546875" style="17" customWidth="1"/>
    <col min="14600" max="14848" width="9.140625" style="17"/>
    <col min="14849" max="14849" width="4.85546875" style="17" customWidth="1"/>
    <col min="14850" max="14850" width="38.42578125" style="17" customWidth="1"/>
    <col min="14851" max="14851" width="7.85546875" style="17" customWidth="1"/>
    <col min="14852" max="14853" width="12.42578125" style="17" customWidth="1"/>
    <col min="14854" max="14854" width="12.5703125" style="17" customWidth="1"/>
    <col min="14855" max="14855" width="12.85546875" style="17" customWidth="1"/>
    <col min="14856" max="15104" width="9.140625" style="17"/>
    <col min="15105" max="15105" width="4.85546875" style="17" customWidth="1"/>
    <col min="15106" max="15106" width="38.42578125" style="17" customWidth="1"/>
    <col min="15107" max="15107" width="7.85546875" style="17" customWidth="1"/>
    <col min="15108" max="15109" width="12.42578125" style="17" customWidth="1"/>
    <col min="15110" max="15110" width="12.5703125" style="17" customWidth="1"/>
    <col min="15111" max="15111" width="12.85546875" style="17" customWidth="1"/>
    <col min="15112" max="15360" width="9.140625" style="17"/>
    <col min="15361" max="15361" width="4.85546875" style="17" customWidth="1"/>
    <col min="15362" max="15362" width="38.42578125" style="17" customWidth="1"/>
    <col min="15363" max="15363" width="7.85546875" style="17" customWidth="1"/>
    <col min="15364" max="15365" width="12.42578125" style="17" customWidth="1"/>
    <col min="15366" max="15366" width="12.5703125" style="17" customWidth="1"/>
    <col min="15367" max="15367" width="12.85546875" style="17" customWidth="1"/>
    <col min="15368" max="15616" width="9.140625" style="17"/>
    <col min="15617" max="15617" width="4.85546875" style="17" customWidth="1"/>
    <col min="15618" max="15618" width="38.42578125" style="17" customWidth="1"/>
    <col min="15619" max="15619" width="7.85546875" style="17" customWidth="1"/>
    <col min="15620" max="15621" width="12.42578125" style="17" customWidth="1"/>
    <col min="15622" max="15622" width="12.5703125" style="17" customWidth="1"/>
    <col min="15623" max="15623" width="12.85546875" style="17" customWidth="1"/>
    <col min="15624" max="15872" width="9.140625" style="17"/>
    <col min="15873" max="15873" width="4.85546875" style="17" customWidth="1"/>
    <col min="15874" max="15874" width="38.42578125" style="17" customWidth="1"/>
    <col min="15875" max="15875" width="7.85546875" style="17" customWidth="1"/>
    <col min="15876" max="15877" width="12.42578125" style="17" customWidth="1"/>
    <col min="15878" max="15878" width="12.5703125" style="17" customWidth="1"/>
    <col min="15879" max="15879" width="12.85546875" style="17" customWidth="1"/>
    <col min="15880" max="16128" width="9.140625" style="17"/>
    <col min="16129" max="16129" width="4.85546875" style="17" customWidth="1"/>
    <col min="16130" max="16130" width="38.42578125" style="17" customWidth="1"/>
    <col min="16131" max="16131" width="7.85546875" style="17" customWidth="1"/>
    <col min="16132" max="16133" width="12.42578125" style="17" customWidth="1"/>
    <col min="16134" max="16134" width="12.5703125" style="17" customWidth="1"/>
    <col min="16135" max="16135" width="12.85546875" style="17" customWidth="1"/>
    <col min="16136" max="16384" width="9.140625" style="17"/>
  </cols>
  <sheetData>
    <row r="1" spans="1:11" ht="15.75" x14ac:dyDescent="0.25">
      <c r="A1" s="437" t="s">
        <v>26</v>
      </c>
      <c r="B1" s="437"/>
      <c r="C1" s="437"/>
      <c r="D1" s="437"/>
      <c r="E1" s="437"/>
      <c r="F1" s="437"/>
      <c r="G1" s="437"/>
    </row>
    <row r="2" spans="1:11" ht="20.25" x14ac:dyDescent="0.3">
      <c r="A2" s="440" t="s">
        <v>8</v>
      </c>
      <c r="B2" s="440"/>
      <c r="C2" s="440"/>
      <c r="D2" s="440"/>
      <c r="E2" s="440"/>
      <c r="F2" s="440"/>
      <c r="G2" s="440"/>
    </row>
    <row r="3" spans="1:11" s="160" customFormat="1" ht="15.75" x14ac:dyDescent="0.25">
      <c r="A3" s="437" t="s">
        <v>79</v>
      </c>
      <c r="B3" s="437"/>
      <c r="C3" s="437"/>
      <c r="D3" s="437"/>
      <c r="E3" s="437"/>
      <c r="F3" s="437"/>
      <c r="G3" s="437"/>
    </row>
    <row r="4" spans="1:11" ht="15.75" x14ac:dyDescent="0.25">
      <c r="B4" s="437" t="s">
        <v>57</v>
      </c>
      <c r="C4" s="437"/>
      <c r="D4" s="437"/>
      <c r="E4" s="437"/>
      <c r="F4" s="437"/>
      <c r="G4" s="25"/>
    </row>
    <row r="5" spans="1:11" ht="15.75" x14ac:dyDescent="0.25">
      <c r="A5" s="26"/>
      <c r="B5" s="25" t="s">
        <v>9</v>
      </c>
      <c r="C5" s="441" t="s">
        <v>126</v>
      </c>
      <c r="D5" s="441"/>
      <c r="E5" s="27" t="s">
        <v>117</v>
      </c>
      <c r="F5" s="26"/>
    </row>
    <row r="6" spans="1:11" ht="15.75" customHeight="1" x14ac:dyDescent="0.2">
      <c r="A6" s="28"/>
      <c r="C6" s="28"/>
      <c r="D6" s="28"/>
      <c r="E6" s="28"/>
      <c r="F6" s="28"/>
    </row>
    <row r="7" spans="1:11" x14ac:dyDescent="0.2">
      <c r="B7" s="29" t="s">
        <v>10</v>
      </c>
      <c r="C7" s="30">
        <v>26</v>
      </c>
      <c r="F7" s="31" t="s">
        <v>11</v>
      </c>
      <c r="G7" s="32">
        <v>321.8</v>
      </c>
    </row>
    <row r="8" spans="1:11" ht="56.25" customHeight="1" x14ac:dyDescent="0.2">
      <c r="A8" s="33" t="s">
        <v>1</v>
      </c>
      <c r="B8" s="33" t="s">
        <v>12</v>
      </c>
      <c r="C8" s="33" t="s">
        <v>77</v>
      </c>
      <c r="D8" s="33" t="s">
        <v>13</v>
      </c>
      <c r="E8" s="33" t="s">
        <v>14</v>
      </c>
      <c r="F8" s="33" t="s">
        <v>15</v>
      </c>
      <c r="G8" s="34" t="s">
        <v>78</v>
      </c>
      <c r="H8" s="23"/>
    </row>
    <row r="9" spans="1:11" s="182" customFormat="1" ht="15" x14ac:dyDescent="0.25">
      <c r="A9" s="11">
        <v>1</v>
      </c>
      <c r="B9" s="35" t="str">
        <f>'табель сирот'!B6</f>
        <v>Артемьев Сергей Эдуардович</v>
      </c>
      <c r="C9" s="36">
        <f>$C$7</f>
        <v>26</v>
      </c>
      <c r="D9" s="37">
        <f t="shared" ref="D9:D14" si="0">G$7*C9</f>
        <v>8366.8000000000011</v>
      </c>
      <c r="E9" s="38">
        <f>'табель сирот'!AQ6</f>
        <v>0</v>
      </c>
      <c r="F9" s="39">
        <f>D9-E9</f>
        <v>8366.8000000000011</v>
      </c>
      <c r="G9" s="42"/>
      <c r="H9" s="41"/>
    </row>
    <row r="10" spans="1:11" ht="15" x14ac:dyDescent="0.25">
      <c r="A10" s="11">
        <v>6</v>
      </c>
      <c r="B10" s="35" t="str">
        <f>'табель сирот'!B7</f>
        <v>Ефремов Константин Александрович</v>
      </c>
      <c r="C10" s="36">
        <f t="shared" ref="C10:C14" si="1">$C$7</f>
        <v>26</v>
      </c>
      <c r="D10" s="37">
        <f t="shared" si="0"/>
        <v>8366.8000000000011</v>
      </c>
      <c r="E10" s="38">
        <f>'табель сирот'!AQ7</f>
        <v>1498.3500000000004</v>
      </c>
      <c r="F10" s="39">
        <f t="shared" ref="F10:F14" si="2">D10-E10</f>
        <v>6868.4500000000007</v>
      </c>
      <c r="G10" s="42"/>
      <c r="H10" s="41"/>
    </row>
    <row r="11" spans="1:11" ht="15" x14ac:dyDescent="0.25">
      <c r="A11" s="11">
        <v>13</v>
      </c>
      <c r="B11" s="35" t="str">
        <f>'табель сирот'!B8</f>
        <v>Михайлова Софья Сергеевна</v>
      </c>
      <c r="C11" s="36">
        <f t="shared" si="1"/>
        <v>26</v>
      </c>
      <c r="D11" s="37">
        <f t="shared" si="0"/>
        <v>8366.8000000000011</v>
      </c>
      <c r="E11" s="38">
        <f>'табель сирот'!AQ8</f>
        <v>0</v>
      </c>
      <c r="F11" s="39">
        <f t="shared" si="2"/>
        <v>8366.8000000000011</v>
      </c>
      <c r="G11" s="224"/>
      <c r="H11" s="228"/>
    </row>
    <row r="12" spans="1:11" ht="15" x14ac:dyDescent="0.25">
      <c r="A12" s="11">
        <v>14</v>
      </c>
      <c r="B12" s="35"/>
      <c r="C12" s="36"/>
      <c r="D12" s="37"/>
      <c r="E12" s="38"/>
      <c r="F12" s="39"/>
      <c r="G12" s="42"/>
      <c r="H12" s="41"/>
    </row>
    <row r="13" spans="1:11" ht="15" x14ac:dyDescent="0.25">
      <c r="A13" s="11">
        <v>19</v>
      </c>
      <c r="B13" s="35"/>
      <c r="C13" s="36"/>
      <c r="D13" s="37"/>
      <c r="E13" s="38"/>
      <c r="F13" s="39"/>
      <c r="G13" s="42"/>
      <c r="H13" s="41"/>
    </row>
    <row r="14" spans="1:11" ht="14.25" customHeight="1" x14ac:dyDescent="0.25">
      <c r="A14" s="11">
        <v>23</v>
      </c>
      <c r="B14" s="35" t="str">
        <f>'табель сирот'!B9</f>
        <v>Яковлев Егор Сергеевич</v>
      </c>
      <c r="C14" s="36">
        <f t="shared" si="1"/>
        <v>26</v>
      </c>
      <c r="D14" s="37">
        <f t="shared" si="0"/>
        <v>8366.8000000000011</v>
      </c>
      <c r="E14" s="38">
        <f>'табель сирот'!AQ9</f>
        <v>199.78</v>
      </c>
      <c r="F14" s="39">
        <f t="shared" si="2"/>
        <v>8167.0200000000013</v>
      </c>
      <c r="G14" s="42"/>
      <c r="H14" s="41"/>
    </row>
    <row r="15" spans="1:11" ht="15" x14ac:dyDescent="0.25">
      <c r="A15" s="11">
        <v>24</v>
      </c>
      <c r="B15" s="35"/>
      <c r="C15" s="36"/>
      <c r="D15" s="37"/>
      <c r="E15" s="38"/>
      <c r="F15" s="39"/>
      <c r="G15" s="42"/>
      <c r="H15" s="41"/>
    </row>
    <row r="16" spans="1:11" ht="15" hidden="1" x14ac:dyDescent="0.25">
      <c r="A16" s="11">
        <v>25</v>
      </c>
      <c r="B16" s="35"/>
      <c r="C16" s="36"/>
      <c r="D16" s="37"/>
      <c r="E16" s="38"/>
      <c r="F16" s="39"/>
      <c r="G16" s="42"/>
      <c r="H16" s="438"/>
      <c r="I16" s="439"/>
      <c r="J16" s="439"/>
      <c r="K16" s="439"/>
    </row>
    <row r="17" spans="1:8" ht="15" hidden="1" x14ac:dyDescent="0.25">
      <c r="A17" s="11">
        <v>26</v>
      </c>
      <c r="B17" s="35"/>
      <c r="C17" s="36"/>
      <c r="D17" s="37"/>
      <c r="E17" s="38"/>
      <c r="F17" s="39"/>
      <c r="G17" s="42"/>
      <c r="H17" s="41"/>
    </row>
    <row r="18" spans="1:8" ht="15" hidden="1" x14ac:dyDescent="0.25">
      <c r="A18" s="11">
        <v>27</v>
      </c>
      <c r="B18" s="35"/>
      <c r="C18" s="36"/>
      <c r="D18" s="37"/>
      <c r="E18" s="38"/>
      <c r="F18" s="39"/>
      <c r="G18" s="42"/>
      <c r="H18" s="41"/>
    </row>
    <row r="19" spans="1:8" ht="15" hidden="1" x14ac:dyDescent="0.25">
      <c r="A19" s="11">
        <v>28</v>
      </c>
      <c r="B19" s="35"/>
      <c r="C19" s="36"/>
      <c r="D19" s="37"/>
      <c r="E19" s="38"/>
      <c r="F19" s="39"/>
      <c r="G19" s="42"/>
      <c r="H19" s="228"/>
    </row>
    <row r="20" spans="1:8" ht="15" hidden="1" x14ac:dyDescent="0.25">
      <c r="A20" s="11">
        <v>29</v>
      </c>
      <c r="B20" s="35"/>
      <c r="C20" s="36"/>
      <c r="D20" s="37"/>
      <c r="E20" s="38"/>
      <c r="F20" s="39"/>
      <c r="G20" s="42"/>
      <c r="H20" s="41"/>
    </row>
    <row r="21" spans="1:8" ht="15" hidden="1" x14ac:dyDescent="0.25">
      <c r="A21" s="11">
        <v>30</v>
      </c>
      <c r="B21" s="35"/>
      <c r="C21" s="36"/>
      <c r="D21" s="37"/>
      <c r="E21" s="38"/>
      <c r="F21" s="39"/>
      <c r="G21" s="42"/>
      <c r="H21" s="41"/>
    </row>
    <row r="22" spans="1:8" ht="15" hidden="1" x14ac:dyDescent="0.25">
      <c r="A22" s="11">
        <v>31</v>
      </c>
      <c r="B22" s="35"/>
      <c r="C22" s="36"/>
      <c r="D22" s="37"/>
      <c r="E22" s="38"/>
      <c r="F22" s="39"/>
      <c r="G22" s="42"/>
      <c r="H22" s="41"/>
    </row>
    <row r="23" spans="1:8" ht="15" hidden="1" x14ac:dyDescent="0.25">
      <c r="A23" s="11">
        <v>32</v>
      </c>
      <c r="B23" s="35"/>
      <c r="C23" s="36"/>
      <c r="D23" s="37"/>
      <c r="E23" s="38"/>
      <c r="F23" s="39"/>
      <c r="G23" s="42"/>
      <c r="H23" s="41"/>
    </row>
    <row r="24" spans="1:8" ht="15" hidden="1" x14ac:dyDescent="0.25">
      <c r="A24" s="11">
        <v>33</v>
      </c>
      <c r="B24" s="35"/>
      <c r="C24" s="36"/>
      <c r="D24" s="37"/>
      <c r="E24" s="38"/>
      <c r="F24" s="39"/>
      <c r="G24" s="42"/>
      <c r="H24" s="41"/>
    </row>
    <row r="25" spans="1:8" s="227" customFormat="1" ht="15" hidden="1" x14ac:dyDescent="0.25">
      <c r="A25" s="11">
        <v>34</v>
      </c>
      <c r="B25" s="35"/>
      <c r="C25" s="36"/>
      <c r="D25" s="37"/>
      <c r="E25" s="38"/>
      <c r="F25" s="39"/>
      <c r="G25" s="42"/>
      <c r="H25" s="41"/>
    </row>
    <row r="26" spans="1:8" ht="15" hidden="1" x14ac:dyDescent="0.25">
      <c r="A26" s="11">
        <v>35</v>
      </c>
      <c r="B26" s="35"/>
      <c r="C26" s="36"/>
      <c r="D26" s="37"/>
      <c r="E26" s="38"/>
      <c r="F26" s="39"/>
      <c r="G26" s="42"/>
      <c r="H26" s="41"/>
    </row>
    <row r="27" spans="1:8" s="187" customFormat="1" ht="15" hidden="1" x14ac:dyDescent="0.25">
      <c r="A27" s="11">
        <v>36</v>
      </c>
      <c r="B27" s="35"/>
      <c r="C27" s="36"/>
      <c r="D27" s="37"/>
      <c r="E27" s="38"/>
      <c r="F27" s="39"/>
      <c r="G27" s="42"/>
      <c r="H27" s="41"/>
    </row>
    <row r="28" spans="1:8" ht="15" hidden="1" outlineLevel="1" x14ac:dyDescent="0.25">
      <c r="A28" s="11">
        <v>37</v>
      </c>
      <c r="B28" s="35"/>
      <c r="C28" s="36"/>
      <c r="D28" s="37"/>
      <c r="E28" s="38"/>
      <c r="F28" s="39"/>
      <c r="G28" s="42"/>
      <c r="H28" s="41"/>
    </row>
    <row r="29" spans="1:8" s="183" customFormat="1" ht="15" hidden="1" outlineLevel="1" x14ac:dyDescent="0.25">
      <c r="A29" s="11">
        <v>38</v>
      </c>
      <c r="B29" s="35"/>
      <c r="C29" s="36"/>
      <c r="D29" s="37"/>
      <c r="E29" s="38"/>
      <c r="F29" s="39"/>
      <c r="G29" s="42"/>
      <c r="H29" s="41"/>
    </row>
    <row r="30" spans="1:8" s="184" customFormat="1" ht="15" hidden="1" outlineLevel="1" x14ac:dyDescent="0.25">
      <c r="A30" s="11">
        <v>39</v>
      </c>
      <c r="B30" s="35"/>
      <c r="C30" s="36"/>
      <c r="D30" s="37"/>
      <c r="E30" s="38"/>
      <c r="F30" s="39"/>
      <c r="G30" s="42"/>
      <c r="H30" s="41"/>
    </row>
    <row r="31" spans="1:8" ht="15" hidden="1" outlineLevel="1" x14ac:dyDescent="0.25">
      <c r="A31" s="11">
        <v>40</v>
      </c>
      <c r="B31" s="35"/>
      <c r="C31" s="36"/>
      <c r="D31" s="37"/>
      <c r="E31" s="38"/>
      <c r="F31" s="39"/>
      <c r="G31" s="42"/>
      <c r="H31" s="41"/>
    </row>
    <row r="32" spans="1:8" s="185" customFormat="1" ht="15" hidden="1" outlineLevel="1" x14ac:dyDescent="0.25">
      <c r="A32" s="11">
        <v>41</v>
      </c>
      <c r="B32" s="35"/>
      <c r="C32" s="36"/>
      <c r="D32" s="37"/>
      <c r="E32" s="38"/>
      <c r="F32" s="39"/>
      <c r="G32" s="42"/>
      <c r="H32" s="41"/>
    </row>
    <row r="33" spans="1:8" ht="15" hidden="1" outlineLevel="1" x14ac:dyDescent="0.25">
      <c r="A33" s="11">
        <v>42</v>
      </c>
      <c r="B33" s="35"/>
      <c r="C33" s="36"/>
      <c r="D33" s="37"/>
      <c r="E33" s="38"/>
      <c r="F33" s="39"/>
      <c r="G33" s="42"/>
      <c r="H33" s="41"/>
    </row>
    <row r="34" spans="1:8" s="181" customFormat="1" ht="15" hidden="1" outlineLevel="1" x14ac:dyDescent="0.25">
      <c r="A34" s="11">
        <v>43</v>
      </c>
      <c r="B34" s="35"/>
      <c r="C34" s="36"/>
      <c r="D34" s="37"/>
      <c r="E34" s="38"/>
      <c r="F34" s="39"/>
      <c r="G34" s="42"/>
      <c r="H34" s="41"/>
    </row>
    <row r="35" spans="1:8" ht="15" hidden="1" outlineLevel="1" x14ac:dyDescent="0.25">
      <c r="A35" s="11">
        <v>44</v>
      </c>
      <c r="B35" s="35"/>
      <c r="C35" s="36"/>
      <c r="D35" s="37"/>
      <c r="E35" s="38"/>
      <c r="F35" s="39"/>
      <c r="G35" s="42"/>
      <c r="H35" s="41"/>
    </row>
    <row r="36" spans="1:8" ht="15" hidden="1" outlineLevel="1" x14ac:dyDescent="0.25">
      <c r="A36" s="11">
        <v>45</v>
      </c>
      <c r="B36" s="35"/>
      <c r="C36" s="36"/>
      <c r="D36" s="37"/>
      <c r="E36" s="38"/>
      <c r="F36" s="39"/>
      <c r="G36" s="42"/>
      <c r="H36" s="41"/>
    </row>
    <row r="37" spans="1:8" s="186" customFormat="1" ht="15" hidden="1" outlineLevel="1" x14ac:dyDescent="0.25">
      <c r="A37" s="11">
        <v>46</v>
      </c>
      <c r="B37" s="35"/>
      <c r="C37" s="36"/>
      <c r="D37" s="37"/>
      <c r="E37" s="38"/>
      <c r="F37" s="39"/>
      <c r="G37" s="42"/>
      <c r="H37" s="41"/>
    </row>
    <row r="38" spans="1:8" s="186" customFormat="1" ht="15" hidden="1" outlineLevel="1" x14ac:dyDescent="0.25">
      <c r="A38" s="11">
        <v>47</v>
      </c>
      <c r="B38" s="35"/>
      <c r="C38" s="36"/>
      <c r="D38" s="37"/>
      <c r="E38" s="38"/>
      <c r="F38" s="39"/>
      <c r="G38" s="42"/>
      <c r="H38" s="41"/>
    </row>
    <row r="39" spans="1:8" ht="15" collapsed="1" x14ac:dyDescent="0.25">
      <c r="A39" s="43"/>
      <c r="B39" s="43" t="s">
        <v>16</v>
      </c>
      <c r="C39" s="43"/>
      <c r="D39" s="44">
        <f>SUM(D9:D38)</f>
        <v>33467.200000000004</v>
      </c>
      <c r="E39" s="19">
        <f>SUM(E9:E38)</f>
        <v>1698.1300000000003</v>
      </c>
      <c r="F39" s="45">
        <f>SUM(F9:F38)</f>
        <v>31769.070000000003</v>
      </c>
      <c r="G39" s="40"/>
      <c r="H39" s="41"/>
    </row>
    <row r="41" spans="1:8" ht="26.25" customHeight="1" outlineLevel="1" x14ac:dyDescent="0.2">
      <c r="A41" s="436" t="s">
        <v>105</v>
      </c>
      <c r="B41" s="436"/>
      <c r="C41" s="436"/>
      <c r="D41" s="436"/>
      <c r="E41" s="436"/>
    </row>
    <row r="44" spans="1:8" x14ac:dyDescent="0.2">
      <c r="D44" s="48"/>
      <c r="E44" s="49"/>
    </row>
    <row r="45" spans="1:8" x14ac:dyDescent="0.2">
      <c r="D45" s="48"/>
      <c r="E45" s="49"/>
    </row>
    <row r="46" spans="1:8" x14ac:dyDescent="0.2">
      <c r="D46" s="48"/>
      <c r="E46" s="49"/>
    </row>
    <row r="47" spans="1:8" x14ac:dyDescent="0.2">
      <c r="D47" s="48"/>
      <c r="E47" s="49"/>
      <c r="G47" s="17"/>
    </row>
    <row r="48" spans="1:8" x14ac:dyDescent="0.2">
      <c r="D48" s="48"/>
      <c r="E48" s="49"/>
      <c r="G48" s="17"/>
    </row>
    <row r="49" spans="4:7" x14ac:dyDescent="0.2">
      <c r="D49" s="48"/>
      <c r="E49" s="49"/>
      <c r="G49" s="17"/>
    </row>
    <row r="50" spans="4:7" x14ac:dyDescent="0.2">
      <c r="D50" s="48"/>
      <c r="E50" s="49"/>
      <c r="G50" s="17"/>
    </row>
    <row r="51" spans="4:7" x14ac:dyDescent="0.2">
      <c r="D51" s="48"/>
      <c r="E51" s="49"/>
      <c r="G51" s="17"/>
    </row>
    <row r="52" spans="4:7" x14ac:dyDescent="0.2">
      <c r="D52" s="48"/>
      <c r="E52" s="49"/>
      <c r="G52" s="17"/>
    </row>
    <row r="53" spans="4:7" x14ac:dyDescent="0.2">
      <c r="D53" s="48"/>
      <c r="E53" s="49"/>
      <c r="G53" s="17"/>
    </row>
    <row r="54" spans="4:7" x14ac:dyDescent="0.2">
      <c r="D54" s="48"/>
      <c r="E54" s="49"/>
      <c r="G54" s="17"/>
    </row>
    <row r="55" spans="4:7" x14ac:dyDescent="0.2">
      <c r="D55" s="48"/>
      <c r="E55" s="49"/>
      <c r="G55" s="17"/>
    </row>
  </sheetData>
  <mergeCells count="7">
    <mergeCell ref="A41:E41"/>
    <mergeCell ref="A3:G3"/>
    <mergeCell ref="H16:K16"/>
    <mergeCell ref="A1:G1"/>
    <mergeCell ref="A2:G2"/>
    <mergeCell ref="B4:F4"/>
    <mergeCell ref="C5:D5"/>
  </mergeCells>
  <pageMargins left="0.70866141732283472" right="0.51181102362204722" top="0.74803149606299213" bottom="0.19685039370078741" header="0.31496062992125984" footer="0.31496062992125984"/>
  <pageSetup paperSize="9" scale="90" fitToHeight="2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FF0000"/>
    <pageSetUpPr fitToPage="1"/>
  </sheetPr>
  <dimension ref="A1:BP50"/>
  <sheetViews>
    <sheetView showGridLines="0" zoomScaleNormal="10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B11" sqref="B11"/>
    </sheetView>
  </sheetViews>
  <sheetFormatPr defaultRowHeight="12.75" outlineLevelRow="1" outlineLevelCol="1" x14ac:dyDescent="0.2"/>
  <cols>
    <col min="1" max="1" width="3.7109375" style="20" customWidth="1"/>
    <col min="2" max="2" width="42" style="17" customWidth="1"/>
    <col min="3" max="3" width="9.5703125" style="17" customWidth="1"/>
    <col min="4" max="4" width="6.42578125" style="17" customWidth="1"/>
    <col min="5" max="5" width="5.7109375" style="17" customWidth="1"/>
    <col min="6" max="7" width="5.7109375" style="47" customWidth="1"/>
    <col min="8" max="8" width="5.7109375" style="17" customWidth="1"/>
    <col min="9" max="9" width="5.7109375" style="47" customWidth="1"/>
    <col min="10" max="10" width="5.7109375" style="252" customWidth="1"/>
    <col min="11" max="11" width="5.5703125" style="47" customWidth="1"/>
    <col min="12" max="12" width="5.5703125" style="188" customWidth="1"/>
    <col min="13" max="16" width="5.7109375" style="47" customWidth="1"/>
    <col min="17" max="17" width="5.7109375" style="252" customWidth="1"/>
    <col min="18" max="23" width="5.7109375" style="47" customWidth="1"/>
    <col min="24" max="24" width="5.7109375" style="252" customWidth="1"/>
    <col min="25" max="29" width="5.7109375" style="47" customWidth="1"/>
    <col min="30" max="31" width="5.5703125" style="13" customWidth="1"/>
    <col min="32" max="34" width="5.7109375" style="13" customWidth="1"/>
    <col min="35" max="35" width="5.7109375" style="13" hidden="1" customWidth="1"/>
    <col min="36" max="42" width="6.28515625" style="13" hidden="1" customWidth="1" outlineLevel="1"/>
    <col min="43" max="43" width="12.28515625" style="151" customWidth="1" collapsed="1"/>
    <col min="44" max="44" width="8.7109375" style="13" customWidth="1"/>
    <col min="45" max="45" width="10.7109375" style="131" customWidth="1"/>
    <col min="46" max="46" width="8.7109375" style="13" hidden="1" customWidth="1" outlineLevel="1"/>
    <col min="47" max="47" width="8.7109375" style="15" hidden="1" customWidth="1" outlineLevel="1"/>
    <col min="48" max="48" width="5" style="176" hidden="1" customWidth="1" outlineLevel="1"/>
    <col min="49" max="49" width="8.7109375" style="13" customWidth="1" collapsed="1"/>
    <col min="50" max="64" width="8.7109375" style="13" customWidth="1"/>
    <col min="65" max="65" width="8.85546875" style="17" customWidth="1"/>
    <col min="66" max="66" width="9.42578125" style="20" customWidth="1"/>
    <col min="67" max="67" width="9" style="17" customWidth="1"/>
    <col min="68" max="68" width="9.5703125" style="17" bestFit="1" customWidth="1"/>
    <col min="69" max="264" width="9.140625" style="17"/>
    <col min="265" max="265" width="3.7109375" style="17" customWidth="1"/>
    <col min="266" max="266" width="34.140625" style="17" customWidth="1"/>
    <col min="267" max="267" width="8" style="17" customWidth="1"/>
    <col min="268" max="292" width="8.5703125" style="17" customWidth="1"/>
    <col min="293" max="294" width="0" style="17" hidden="1" customWidth="1"/>
    <col min="295" max="295" width="12.28515625" style="17" customWidth="1"/>
    <col min="296" max="296" width="8.7109375" style="17" customWidth="1"/>
    <col min="297" max="297" width="10.7109375" style="17" customWidth="1"/>
    <col min="298" max="298" width="9.5703125" style="17" customWidth="1"/>
    <col min="299" max="320" width="8.7109375" style="17" customWidth="1"/>
    <col min="321" max="321" width="8.85546875" style="17" customWidth="1"/>
    <col min="322" max="322" width="9.42578125" style="17" customWidth="1"/>
    <col min="323" max="323" width="9" style="17" customWidth="1"/>
    <col min="324" max="324" width="9.5703125" style="17" bestFit="1" customWidth="1"/>
    <col min="325" max="520" width="9.140625" style="17"/>
    <col min="521" max="521" width="3.7109375" style="17" customWidth="1"/>
    <col min="522" max="522" width="34.140625" style="17" customWidth="1"/>
    <col min="523" max="523" width="8" style="17" customWidth="1"/>
    <col min="524" max="548" width="8.5703125" style="17" customWidth="1"/>
    <col min="549" max="550" width="0" style="17" hidden="1" customWidth="1"/>
    <col min="551" max="551" width="12.28515625" style="17" customWidth="1"/>
    <col min="552" max="552" width="8.7109375" style="17" customWidth="1"/>
    <col min="553" max="553" width="10.7109375" style="17" customWidth="1"/>
    <col min="554" max="554" width="9.5703125" style="17" customWidth="1"/>
    <col min="555" max="576" width="8.7109375" style="17" customWidth="1"/>
    <col min="577" max="577" width="8.85546875" style="17" customWidth="1"/>
    <col min="578" max="578" width="9.42578125" style="17" customWidth="1"/>
    <col min="579" max="579" width="9" style="17" customWidth="1"/>
    <col min="580" max="580" width="9.5703125" style="17" bestFit="1" customWidth="1"/>
    <col min="581" max="776" width="9.140625" style="17"/>
    <col min="777" max="777" width="3.7109375" style="17" customWidth="1"/>
    <col min="778" max="778" width="34.140625" style="17" customWidth="1"/>
    <col min="779" max="779" width="8" style="17" customWidth="1"/>
    <col min="780" max="804" width="8.5703125" style="17" customWidth="1"/>
    <col min="805" max="806" width="0" style="17" hidden="1" customWidth="1"/>
    <col min="807" max="807" width="12.28515625" style="17" customWidth="1"/>
    <col min="808" max="808" width="8.7109375" style="17" customWidth="1"/>
    <col min="809" max="809" width="10.7109375" style="17" customWidth="1"/>
    <col min="810" max="810" width="9.5703125" style="17" customWidth="1"/>
    <col min="811" max="832" width="8.7109375" style="17" customWidth="1"/>
    <col min="833" max="833" width="8.85546875" style="17" customWidth="1"/>
    <col min="834" max="834" width="9.42578125" style="17" customWidth="1"/>
    <col min="835" max="835" width="9" style="17" customWidth="1"/>
    <col min="836" max="836" width="9.5703125" style="17" bestFit="1" customWidth="1"/>
    <col min="837" max="1032" width="9.140625" style="17"/>
    <col min="1033" max="1033" width="3.7109375" style="17" customWidth="1"/>
    <col min="1034" max="1034" width="34.140625" style="17" customWidth="1"/>
    <col min="1035" max="1035" width="8" style="17" customWidth="1"/>
    <col min="1036" max="1060" width="8.5703125" style="17" customWidth="1"/>
    <col min="1061" max="1062" width="0" style="17" hidden="1" customWidth="1"/>
    <col min="1063" max="1063" width="12.28515625" style="17" customWidth="1"/>
    <col min="1064" max="1064" width="8.7109375" style="17" customWidth="1"/>
    <col min="1065" max="1065" width="10.7109375" style="17" customWidth="1"/>
    <col min="1066" max="1066" width="9.5703125" style="17" customWidth="1"/>
    <col min="1067" max="1088" width="8.7109375" style="17" customWidth="1"/>
    <col min="1089" max="1089" width="8.85546875" style="17" customWidth="1"/>
    <col min="1090" max="1090" width="9.42578125" style="17" customWidth="1"/>
    <col min="1091" max="1091" width="9" style="17" customWidth="1"/>
    <col min="1092" max="1092" width="9.5703125" style="17" bestFit="1" customWidth="1"/>
    <col min="1093" max="1288" width="9.140625" style="17"/>
    <col min="1289" max="1289" width="3.7109375" style="17" customWidth="1"/>
    <col min="1290" max="1290" width="34.140625" style="17" customWidth="1"/>
    <col min="1291" max="1291" width="8" style="17" customWidth="1"/>
    <col min="1292" max="1316" width="8.5703125" style="17" customWidth="1"/>
    <col min="1317" max="1318" width="0" style="17" hidden="1" customWidth="1"/>
    <col min="1319" max="1319" width="12.28515625" style="17" customWidth="1"/>
    <col min="1320" max="1320" width="8.7109375" style="17" customWidth="1"/>
    <col min="1321" max="1321" width="10.7109375" style="17" customWidth="1"/>
    <col min="1322" max="1322" width="9.5703125" style="17" customWidth="1"/>
    <col min="1323" max="1344" width="8.7109375" style="17" customWidth="1"/>
    <col min="1345" max="1345" width="8.85546875" style="17" customWidth="1"/>
    <col min="1346" max="1346" width="9.42578125" style="17" customWidth="1"/>
    <col min="1347" max="1347" width="9" style="17" customWidth="1"/>
    <col min="1348" max="1348" width="9.5703125" style="17" bestFit="1" customWidth="1"/>
    <col min="1349" max="1544" width="9.140625" style="17"/>
    <col min="1545" max="1545" width="3.7109375" style="17" customWidth="1"/>
    <col min="1546" max="1546" width="34.140625" style="17" customWidth="1"/>
    <col min="1547" max="1547" width="8" style="17" customWidth="1"/>
    <col min="1548" max="1572" width="8.5703125" style="17" customWidth="1"/>
    <col min="1573" max="1574" width="0" style="17" hidden="1" customWidth="1"/>
    <col min="1575" max="1575" width="12.28515625" style="17" customWidth="1"/>
    <col min="1576" max="1576" width="8.7109375" style="17" customWidth="1"/>
    <col min="1577" max="1577" width="10.7109375" style="17" customWidth="1"/>
    <col min="1578" max="1578" width="9.5703125" style="17" customWidth="1"/>
    <col min="1579" max="1600" width="8.7109375" style="17" customWidth="1"/>
    <col min="1601" max="1601" width="8.85546875" style="17" customWidth="1"/>
    <col min="1602" max="1602" width="9.42578125" style="17" customWidth="1"/>
    <col min="1603" max="1603" width="9" style="17" customWidth="1"/>
    <col min="1604" max="1604" width="9.5703125" style="17" bestFit="1" customWidth="1"/>
    <col min="1605" max="1800" width="9.140625" style="17"/>
    <col min="1801" max="1801" width="3.7109375" style="17" customWidth="1"/>
    <col min="1802" max="1802" width="34.140625" style="17" customWidth="1"/>
    <col min="1803" max="1803" width="8" style="17" customWidth="1"/>
    <col min="1804" max="1828" width="8.5703125" style="17" customWidth="1"/>
    <col min="1829" max="1830" width="0" style="17" hidden="1" customWidth="1"/>
    <col min="1831" max="1831" width="12.28515625" style="17" customWidth="1"/>
    <col min="1832" max="1832" width="8.7109375" style="17" customWidth="1"/>
    <col min="1833" max="1833" width="10.7109375" style="17" customWidth="1"/>
    <col min="1834" max="1834" width="9.5703125" style="17" customWidth="1"/>
    <col min="1835" max="1856" width="8.7109375" style="17" customWidth="1"/>
    <col min="1857" max="1857" width="8.85546875" style="17" customWidth="1"/>
    <col min="1858" max="1858" width="9.42578125" style="17" customWidth="1"/>
    <col min="1859" max="1859" width="9" style="17" customWidth="1"/>
    <col min="1860" max="1860" width="9.5703125" style="17" bestFit="1" customWidth="1"/>
    <col min="1861" max="2056" width="9.140625" style="17"/>
    <col min="2057" max="2057" width="3.7109375" style="17" customWidth="1"/>
    <col min="2058" max="2058" width="34.140625" style="17" customWidth="1"/>
    <col min="2059" max="2059" width="8" style="17" customWidth="1"/>
    <col min="2060" max="2084" width="8.5703125" style="17" customWidth="1"/>
    <col min="2085" max="2086" width="0" style="17" hidden="1" customWidth="1"/>
    <col min="2087" max="2087" width="12.28515625" style="17" customWidth="1"/>
    <col min="2088" max="2088" width="8.7109375" style="17" customWidth="1"/>
    <col min="2089" max="2089" width="10.7109375" style="17" customWidth="1"/>
    <col min="2090" max="2090" width="9.5703125" style="17" customWidth="1"/>
    <col min="2091" max="2112" width="8.7109375" style="17" customWidth="1"/>
    <col min="2113" max="2113" width="8.85546875" style="17" customWidth="1"/>
    <col min="2114" max="2114" width="9.42578125" style="17" customWidth="1"/>
    <col min="2115" max="2115" width="9" style="17" customWidth="1"/>
    <col min="2116" max="2116" width="9.5703125" style="17" bestFit="1" customWidth="1"/>
    <col min="2117" max="2312" width="9.140625" style="17"/>
    <col min="2313" max="2313" width="3.7109375" style="17" customWidth="1"/>
    <col min="2314" max="2314" width="34.140625" style="17" customWidth="1"/>
    <col min="2315" max="2315" width="8" style="17" customWidth="1"/>
    <col min="2316" max="2340" width="8.5703125" style="17" customWidth="1"/>
    <col min="2341" max="2342" width="0" style="17" hidden="1" customWidth="1"/>
    <col min="2343" max="2343" width="12.28515625" style="17" customWidth="1"/>
    <col min="2344" max="2344" width="8.7109375" style="17" customWidth="1"/>
    <col min="2345" max="2345" width="10.7109375" style="17" customWidth="1"/>
    <col min="2346" max="2346" width="9.5703125" style="17" customWidth="1"/>
    <col min="2347" max="2368" width="8.7109375" style="17" customWidth="1"/>
    <col min="2369" max="2369" width="8.85546875" style="17" customWidth="1"/>
    <col min="2370" max="2370" width="9.42578125" style="17" customWidth="1"/>
    <col min="2371" max="2371" width="9" style="17" customWidth="1"/>
    <col min="2372" max="2372" width="9.5703125" style="17" bestFit="1" customWidth="1"/>
    <col min="2373" max="2568" width="9.140625" style="17"/>
    <col min="2569" max="2569" width="3.7109375" style="17" customWidth="1"/>
    <col min="2570" max="2570" width="34.140625" style="17" customWidth="1"/>
    <col min="2571" max="2571" width="8" style="17" customWidth="1"/>
    <col min="2572" max="2596" width="8.5703125" style="17" customWidth="1"/>
    <col min="2597" max="2598" width="0" style="17" hidden="1" customWidth="1"/>
    <col min="2599" max="2599" width="12.28515625" style="17" customWidth="1"/>
    <col min="2600" max="2600" width="8.7109375" style="17" customWidth="1"/>
    <col min="2601" max="2601" width="10.7109375" style="17" customWidth="1"/>
    <col min="2602" max="2602" width="9.5703125" style="17" customWidth="1"/>
    <col min="2603" max="2624" width="8.7109375" style="17" customWidth="1"/>
    <col min="2625" max="2625" width="8.85546875" style="17" customWidth="1"/>
    <col min="2626" max="2626" width="9.42578125" style="17" customWidth="1"/>
    <col min="2627" max="2627" width="9" style="17" customWidth="1"/>
    <col min="2628" max="2628" width="9.5703125" style="17" bestFit="1" customWidth="1"/>
    <col min="2629" max="2824" width="9.140625" style="17"/>
    <col min="2825" max="2825" width="3.7109375" style="17" customWidth="1"/>
    <col min="2826" max="2826" width="34.140625" style="17" customWidth="1"/>
    <col min="2827" max="2827" width="8" style="17" customWidth="1"/>
    <col min="2828" max="2852" width="8.5703125" style="17" customWidth="1"/>
    <col min="2853" max="2854" width="0" style="17" hidden="1" customWidth="1"/>
    <col min="2855" max="2855" width="12.28515625" style="17" customWidth="1"/>
    <col min="2856" max="2856" width="8.7109375" style="17" customWidth="1"/>
    <col min="2857" max="2857" width="10.7109375" style="17" customWidth="1"/>
    <col min="2858" max="2858" width="9.5703125" style="17" customWidth="1"/>
    <col min="2859" max="2880" width="8.7109375" style="17" customWidth="1"/>
    <col min="2881" max="2881" width="8.85546875" style="17" customWidth="1"/>
    <col min="2882" max="2882" width="9.42578125" style="17" customWidth="1"/>
    <col min="2883" max="2883" width="9" style="17" customWidth="1"/>
    <col min="2884" max="2884" width="9.5703125" style="17" bestFit="1" customWidth="1"/>
    <col min="2885" max="3080" width="9.140625" style="17"/>
    <col min="3081" max="3081" width="3.7109375" style="17" customWidth="1"/>
    <col min="3082" max="3082" width="34.140625" style="17" customWidth="1"/>
    <col min="3083" max="3083" width="8" style="17" customWidth="1"/>
    <col min="3084" max="3108" width="8.5703125" style="17" customWidth="1"/>
    <col min="3109" max="3110" width="0" style="17" hidden="1" customWidth="1"/>
    <col min="3111" max="3111" width="12.28515625" style="17" customWidth="1"/>
    <col min="3112" max="3112" width="8.7109375" style="17" customWidth="1"/>
    <col min="3113" max="3113" width="10.7109375" style="17" customWidth="1"/>
    <col min="3114" max="3114" width="9.5703125" style="17" customWidth="1"/>
    <col min="3115" max="3136" width="8.7109375" style="17" customWidth="1"/>
    <col min="3137" max="3137" width="8.85546875" style="17" customWidth="1"/>
    <col min="3138" max="3138" width="9.42578125" style="17" customWidth="1"/>
    <col min="3139" max="3139" width="9" style="17" customWidth="1"/>
    <col min="3140" max="3140" width="9.5703125" style="17" bestFit="1" customWidth="1"/>
    <col min="3141" max="3336" width="9.140625" style="17"/>
    <col min="3337" max="3337" width="3.7109375" style="17" customWidth="1"/>
    <col min="3338" max="3338" width="34.140625" style="17" customWidth="1"/>
    <col min="3339" max="3339" width="8" style="17" customWidth="1"/>
    <col min="3340" max="3364" width="8.5703125" style="17" customWidth="1"/>
    <col min="3365" max="3366" width="0" style="17" hidden="1" customWidth="1"/>
    <col min="3367" max="3367" width="12.28515625" style="17" customWidth="1"/>
    <col min="3368" max="3368" width="8.7109375" style="17" customWidth="1"/>
    <col min="3369" max="3369" width="10.7109375" style="17" customWidth="1"/>
    <col min="3370" max="3370" width="9.5703125" style="17" customWidth="1"/>
    <col min="3371" max="3392" width="8.7109375" style="17" customWidth="1"/>
    <col min="3393" max="3393" width="8.85546875" style="17" customWidth="1"/>
    <col min="3394" max="3394" width="9.42578125" style="17" customWidth="1"/>
    <col min="3395" max="3395" width="9" style="17" customWidth="1"/>
    <col min="3396" max="3396" width="9.5703125" style="17" bestFit="1" customWidth="1"/>
    <col min="3397" max="3592" width="9.140625" style="17"/>
    <col min="3593" max="3593" width="3.7109375" style="17" customWidth="1"/>
    <col min="3594" max="3594" width="34.140625" style="17" customWidth="1"/>
    <col min="3595" max="3595" width="8" style="17" customWidth="1"/>
    <col min="3596" max="3620" width="8.5703125" style="17" customWidth="1"/>
    <col min="3621" max="3622" width="0" style="17" hidden="1" customWidth="1"/>
    <col min="3623" max="3623" width="12.28515625" style="17" customWidth="1"/>
    <col min="3624" max="3624" width="8.7109375" style="17" customWidth="1"/>
    <col min="3625" max="3625" width="10.7109375" style="17" customWidth="1"/>
    <col min="3626" max="3626" width="9.5703125" style="17" customWidth="1"/>
    <col min="3627" max="3648" width="8.7109375" style="17" customWidth="1"/>
    <col min="3649" max="3649" width="8.85546875" style="17" customWidth="1"/>
    <col min="3650" max="3650" width="9.42578125" style="17" customWidth="1"/>
    <col min="3651" max="3651" width="9" style="17" customWidth="1"/>
    <col min="3652" max="3652" width="9.5703125" style="17" bestFit="1" customWidth="1"/>
    <col min="3653" max="3848" width="9.140625" style="17"/>
    <col min="3849" max="3849" width="3.7109375" style="17" customWidth="1"/>
    <col min="3850" max="3850" width="34.140625" style="17" customWidth="1"/>
    <col min="3851" max="3851" width="8" style="17" customWidth="1"/>
    <col min="3852" max="3876" width="8.5703125" style="17" customWidth="1"/>
    <col min="3877" max="3878" width="0" style="17" hidden="1" customWidth="1"/>
    <col min="3879" max="3879" width="12.28515625" style="17" customWidth="1"/>
    <col min="3880" max="3880" width="8.7109375" style="17" customWidth="1"/>
    <col min="3881" max="3881" width="10.7109375" style="17" customWidth="1"/>
    <col min="3882" max="3882" width="9.5703125" style="17" customWidth="1"/>
    <col min="3883" max="3904" width="8.7109375" style="17" customWidth="1"/>
    <col min="3905" max="3905" width="8.85546875" style="17" customWidth="1"/>
    <col min="3906" max="3906" width="9.42578125" style="17" customWidth="1"/>
    <col min="3907" max="3907" width="9" style="17" customWidth="1"/>
    <col min="3908" max="3908" width="9.5703125" style="17" bestFit="1" customWidth="1"/>
    <col min="3909" max="4104" width="9.140625" style="17"/>
    <col min="4105" max="4105" width="3.7109375" style="17" customWidth="1"/>
    <col min="4106" max="4106" width="34.140625" style="17" customWidth="1"/>
    <col min="4107" max="4107" width="8" style="17" customWidth="1"/>
    <col min="4108" max="4132" width="8.5703125" style="17" customWidth="1"/>
    <col min="4133" max="4134" width="0" style="17" hidden="1" customWidth="1"/>
    <col min="4135" max="4135" width="12.28515625" style="17" customWidth="1"/>
    <col min="4136" max="4136" width="8.7109375" style="17" customWidth="1"/>
    <col min="4137" max="4137" width="10.7109375" style="17" customWidth="1"/>
    <col min="4138" max="4138" width="9.5703125" style="17" customWidth="1"/>
    <col min="4139" max="4160" width="8.7109375" style="17" customWidth="1"/>
    <col min="4161" max="4161" width="8.85546875" style="17" customWidth="1"/>
    <col min="4162" max="4162" width="9.42578125" style="17" customWidth="1"/>
    <col min="4163" max="4163" width="9" style="17" customWidth="1"/>
    <col min="4164" max="4164" width="9.5703125" style="17" bestFit="1" customWidth="1"/>
    <col min="4165" max="4360" width="9.140625" style="17"/>
    <col min="4361" max="4361" width="3.7109375" style="17" customWidth="1"/>
    <col min="4362" max="4362" width="34.140625" style="17" customWidth="1"/>
    <col min="4363" max="4363" width="8" style="17" customWidth="1"/>
    <col min="4364" max="4388" width="8.5703125" style="17" customWidth="1"/>
    <col min="4389" max="4390" width="0" style="17" hidden="1" customWidth="1"/>
    <col min="4391" max="4391" width="12.28515625" style="17" customWidth="1"/>
    <col min="4392" max="4392" width="8.7109375" style="17" customWidth="1"/>
    <col min="4393" max="4393" width="10.7109375" style="17" customWidth="1"/>
    <col min="4394" max="4394" width="9.5703125" style="17" customWidth="1"/>
    <col min="4395" max="4416" width="8.7109375" style="17" customWidth="1"/>
    <col min="4417" max="4417" width="8.85546875" style="17" customWidth="1"/>
    <col min="4418" max="4418" width="9.42578125" style="17" customWidth="1"/>
    <col min="4419" max="4419" width="9" style="17" customWidth="1"/>
    <col min="4420" max="4420" width="9.5703125" style="17" bestFit="1" customWidth="1"/>
    <col min="4421" max="4616" width="9.140625" style="17"/>
    <col min="4617" max="4617" width="3.7109375" style="17" customWidth="1"/>
    <col min="4618" max="4618" width="34.140625" style="17" customWidth="1"/>
    <col min="4619" max="4619" width="8" style="17" customWidth="1"/>
    <col min="4620" max="4644" width="8.5703125" style="17" customWidth="1"/>
    <col min="4645" max="4646" width="0" style="17" hidden="1" customWidth="1"/>
    <col min="4647" max="4647" width="12.28515625" style="17" customWidth="1"/>
    <col min="4648" max="4648" width="8.7109375" style="17" customWidth="1"/>
    <col min="4649" max="4649" width="10.7109375" style="17" customWidth="1"/>
    <col min="4650" max="4650" width="9.5703125" style="17" customWidth="1"/>
    <col min="4651" max="4672" width="8.7109375" style="17" customWidth="1"/>
    <col min="4673" max="4673" width="8.85546875" style="17" customWidth="1"/>
    <col min="4674" max="4674" width="9.42578125" style="17" customWidth="1"/>
    <col min="4675" max="4675" width="9" style="17" customWidth="1"/>
    <col min="4676" max="4676" width="9.5703125" style="17" bestFit="1" customWidth="1"/>
    <col min="4677" max="4872" width="9.140625" style="17"/>
    <col min="4873" max="4873" width="3.7109375" style="17" customWidth="1"/>
    <col min="4874" max="4874" width="34.140625" style="17" customWidth="1"/>
    <col min="4875" max="4875" width="8" style="17" customWidth="1"/>
    <col min="4876" max="4900" width="8.5703125" style="17" customWidth="1"/>
    <col min="4901" max="4902" width="0" style="17" hidden="1" customWidth="1"/>
    <col min="4903" max="4903" width="12.28515625" style="17" customWidth="1"/>
    <col min="4904" max="4904" width="8.7109375" style="17" customWidth="1"/>
    <col min="4905" max="4905" width="10.7109375" style="17" customWidth="1"/>
    <col min="4906" max="4906" width="9.5703125" style="17" customWidth="1"/>
    <col min="4907" max="4928" width="8.7109375" style="17" customWidth="1"/>
    <col min="4929" max="4929" width="8.85546875" style="17" customWidth="1"/>
    <col min="4930" max="4930" width="9.42578125" style="17" customWidth="1"/>
    <col min="4931" max="4931" width="9" style="17" customWidth="1"/>
    <col min="4932" max="4932" width="9.5703125" style="17" bestFit="1" customWidth="1"/>
    <col min="4933" max="5128" width="9.140625" style="17"/>
    <col min="5129" max="5129" width="3.7109375" style="17" customWidth="1"/>
    <col min="5130" max="5130" width="34.140625" style="17" customWidth="1"/>
    <col min="5131" max="5131" width="8" style="17" customWidth="1"/>
    <col min="5132" max="5156" width="8.5703125" style="17" customWidth="1"/>
    <col min="5157" max="5158" width="0" style="17" hidden="1" customWidth="1"/>
    <col min="5159" max="5159" width="12.28515625" style="17" customWidth="1"/>
    <col min="5160" max="5160" width="8.7109375" style="17" customWidth="1"/>
    <col min="5161" max="5161" width="10.7109375" style="17" customWidth="1"/>
    <col min="5162" max="5162" width="9.5703125" style="17" customWidth="1"/>
    <col min="5163" max="5184" width="8.7109375" style="17" customWidth="1"/>
    <col min="5185" max="5185" width="8.85546875" style="17" customWidth="1"/>
    <col min="5186" max="5186" width="9.42578125" style="17" customWidth="1"/>
    <col min="5187" max="5187" width="9" style="17" customWidth="1"/>
    <col min="5188" max="5188" width="9.5703125" style="17" bestFit="1" customWidth="1"/>
    <col min="5189" max="5384" width="9.140625" style="17"/>
    <col min="5385" max="5385" width="3.7109375" style="17" customWidth="1"/>
    <col min="5386" max="5386" width="34.140625" style="17" customWidth="1"/>
    <col min="5387" max="5387" width="8" style="17" customWidth="1"/>
    <col min="5388" max="5412" width="8.5703125" style="17" customWidth="1"/>
    <col min="5413" max="5414" width="0" style="17" hidden="1" customWidth="1"/>
    <col min="5415" max="5415" width="12.28515625" style="17" customWidth="1"/>
    <col min="5416" max="5416" width="8.7109375" style="17" customWidth="1"/>
    <col min="5417" max="5417" width="10.7109375" style="17" customWidth="1"/>
    <col min="5418" max="5418" width="9.5703125" style="17" customWidth="1"/>
    <col min="5419" max="5440" width="8.7109375" style="17" customWidth="1"/>
    <col min="5441" max="5441" width="8.85546875" style="17" customWidth="1"/>
    <col min="5442" max="5442" width="9.42578125" style="17" customWidth="1"/>
    <col min="5443" max="5443" width="9" style="17" customWidth="1"/>
    <col min="5444" max="5444" width="9.5703125" style="17" bestFit="1" customWidth="1"/>
    <col min="5445" max="5640" width="9.140625" style="17"/>
    <col min="5641" max="5641" width="3.7109375" style="17" customWidth="1"/>
    <col min="5642" max="5642" width="34.140625" style="17" customWidth="1"/>
    <col min="5643" max="5643" width="8" style="17" customWidth="1"/>
    <col min="5644" max="5668" width="8.5703125" style="17" customWidth="1"/>
    <col min="5669" max="5670" width="0" style="17" hidden="1" customWidth="1"/>
    <col min="5671" max="5671" width="12.28515625" style="17" customWidth="1"/>
    <col min="5672" max="5672" width="8.7109375" style="17" customWidth="1"/>
    <col min="5673" max="5673" width="10.7109375" style="17" customWidth="1"/>
    <col min="5674" max="5674" width="9.5703125" style="17" customWidth="1"/>
    <col min="5675" max="5696" width="8.7109375" style="17" customWidth="1"/>
    <col min="5697" max="5697" width="8.85546875" style="17" customWidth="1"/>
    <col min="5698" max="5698" width="9.42578125" style="17" customWidth="1"/>
    <col min="5699" max="5699" width="9" style="17" customWidth="1"/>
    <col min="5700" max="5700" width="9.5703125" style="17" bestFit="1" customWidth="1"/>
    <col min="5701" max="5896" width="9.140625" style="17"/>
    <col min="5897" max="5897" width="3.7109375" style="17" customWidth="1"/>
    <col min="5898" max="5898" width="34.140625" style="17" customWidth="1"/>
    <col min="5899" max="5899" width="8" style="17" customWidth="1"/>
    <col min="5900" max="5924" width="8.5703125" style="17" customWidth="1"/>
    <col min="5925" max="5926" width="0" style="17" hidden="1" customWidth="1"/>
    <col min="5927" max="5927" width="12.28515625" style="17" customWidth="1"/>
    <col min="5928" max="5928" width="8.7109375" style="17" customWidth="1"/>
    <col min="5929" max="5929" width="10.7109375" style="17" customWidth="1"/>
    <col min="5930" max="5930" width="9.5703125" style="17" customWidth="1"/>
    <col min="5931" max="5952" width="8.7109375" style="17" customWidth="1"/>
    <col min="5953" max="5953" width="8.85546875" style="17" customWidth="1"/>
    <col min="5954" max="5954" width="9.42578125" style="17" customWidth="1"/>
    <col min="5955" max="5955" width="9" style="17" customWidth="1"/>
    <col min="5956" max="5956" width="9.5703125" style="17" bestFit="1" customWidth="1"/>
    <col min="5957" max="6152" width="9.140625" style="17"/>
    <col min="6153" max="6153" width="3.7109375" style="17" customWidth="1"/>
    <col min="6154" max="6154" width="34.140625" style="17" customWidth="1"/>
    <col min="6155" max="6155" width="8" style="17" customWidth="1"/>
    <col min="6156" max="6180" width="8.5703125" style="17" customWidth="1"/>
    <col min="6181" max="6182" width="0" style="17" hidden="1" customWidth="1"/>
    <col min="6183" max="6183" width="12.28515625" style="17" customWidth="1"/>
    <col min="6184" max="6184" width="8.7109375" style="17" customWidth="1"/>
    <col min="6185" max="6185" width="10.7109375" style="17" customWidth="1"/>
    <col min="6186" max="6186" width="9.5703125" style="17" customWidth="1"/>
    <col min="6187" max="6208" width="8.7109375" style="17" customWidth="1"/>
    <col min="6209" max="6209" width="8.85546875" style="17" customWidth="1"/>
    <col min="6210" max="6210" width="9.42578125" style="17" customWidth="1"/>
    <col min="6211" max="6211" width="9" style="17" customWidth="1"/>
    <col min="6212" max="6212" width="9.5703125" style="17" bestFit="1" customWidth="1"/>
    <col min="6213" max="6408" width="9.140625" style="17"/>
    <col min="6409" max="6409" width="3.7109375" style="17" customWidth="1"/>
    <col min="6410" max="6410" width="34.140625" style="17" customWidth="1"/>
    <col min="6411" max="6411" width="8" style="17" customWidth="1"/>
    <col min="6412" max="6436" width="8.5703125" style="17" customWidth="1"/>
    <col min="6437" max="6438" width="0" style="17" hidden="1" customWidth="1"/>
    <col min="6439" max="6439" width="12.28515625" style="17" customWidth="1"/>
    <col min="6440" max="6440" width="8.7109375" style="17" customWidth="1"/>
    <col min="6441" max="6441" width="10.7109375" style="17" customWidth="1"/>
    <col min="6442" max="6442" width="9.5703125" style="17" customWidth="1"/>
    <col min="6443" max="6464" width="8.7109375" style="17" customWidth="1"/>
    <col min="6465" max="6465" width="8.85546875" style="17" customWidth="1"/>
    <col min="6466" max="6466" width="9.42578125" style="17" customWidth="1"/>
    <col min="6467" max="6467" width="9" style="17" customWidth="1"/>
    <col min="6468" max="6468" width="9.5703125" style="17" bestFit="1" customWidth="1"/>
    <col min="6469" max="6664" width="9.140625" style="17"/>
    <col min="6665" max="6665" width="3.7109375" style="17" customWidth="1"/>
    <col min="6666" max="6666" width="34.140625" style="17" customWidth="1"/>
    <col min="6667" max="6667" width="8" style="17" customWidth="1"/>
    <col min="6668" max="6692" width="8.5703125" style="17" customWidth="1"/>
    <col min="6693" max="6694" width="0" style="17" hidden="1" customWidth="1"/>
    <col min="6695" max="6695" width="12.28515625" style="17" customWidth="1"/>
    <col min="6696" max="6696" width="8.7109375" style="17" customWidth="1"/>
    <col min="6697" max="6697" width="10.7109375" style="17" customWidth="1"/>
    <col min="6698" max="6698" width="9.5703125" style="17" customWidth="1"/>
    <col min="6699" max="6720" width="8.7109375" style="17" customWidth="1"/>
    <col min="6721" max="6721" width="8.85546875" style="17" customWidth="1"/>
    <col min="6722" max="6722" width="9.42578125" style="17" customWidth="1"/>
    <col min="6723" max="6723" width="9" style="17" customWidth="1"/>
    <col min="6724" max="6724" width="9.5703125" style="17" bestFit="1" customWidth="1"/>
    <col min="6725" max="6920" width="9.140625" style="17"/>
    <col min="6921" max="6921" width="3.7109375" style="17" customWidth="1"/>
    <col min="6922" max="6922" width="34.140625" style="17" customWidth="1"/>
    <col min="6923" max="6923" width="8" style="17" customWidth="1"/>
    <col min="6924" max="6948" width="8.5703125" style="17" customWidth="1"/>
    <col min="6949" max="6950" width="0" style="17" hidden="1" customWidth="1"/>
    <col min="6951" max="6951" width="12.28515625" style="17" customWidth="1"/>
    <col min="6952" max="6952" width="8.7109375" style="17" customWidth="1"/>
    <col min="6953" max="6953" width="10.7109375" style="17" customWidth="1"/>
    <col min="6954" max="6954" width="9.5703125" style="17" customWidth="1"/>
    <col min="6955" max="6976" width="8.7109375" style="17" customWidth="1"/>
    <col min="6977" max="6977" width="8.85546875" style="17" customWidth="1"/>
    <col min="6978" max="6978" width="9.42578125" style="17" customWidth="1"/>
    <col min="6979" max="6979" width="9" style="17" customWidth="1"/>
    <col min="6980" max="6980" width="9.5703125" style="17" bestFit="1" customWidth="1"/>
    <col min="6981" max="7176" width="9.140625" style="17"/>
    <col min="7177" max="7177" width="3.7109375" style="17" customWidth="1"/>
    <col min="7178" max="7178" width="34.140625" style="17" customWidth="1"/>
    <col min="7179" max="7179" width="8" style="17" customWidth="1"/>
    <col min="7180" max="7204" width="8.5703125" style="17" customWidth="1"/>
    <col min="7205" max="7206" width="0" style="17" hidden="1" customWidth="1"/>
    <col min="7207" max="7207" width="12.28515625" style="17" customWidth="1"/>
    <col min="7208" max="7208" width="8.7109375" style="17" customWidth="1"/>
    <col min="7209" max="7209" width="10.7109375" style="17" customWidth="1"/>
    <col min="7210" max="7210" width="9.5703125" style="17" customWidth="1"/>
    <col min="7211" max="7232" width="8.7109375" style="17" customWidth="1"/>
    <col min="7233" max="7233" width="8.85546875" style="17" customWidth="1"/>
    <col min="7234" max="7234" width="9.42578125" style="17" customWidth="1"/>
    <col min="7235" max="7235" width="9" style="17" customWidth="1"/>
    <col min="7236" max="7236" width="9.5703125" style="17" bestFit="1" customWidth="1"/>
    <col min="7237" max="7432" width="9.140625" style="17"/>
    <col min="7433" max="7433" width="3.7109375" style="17" customWidth="1"/>
    <col min="7434" max="7434" width="34.140625" style="17" customWidth="1"/>
    <col min="7435" max="7435" width="8" style="17" customWidth="1"/>
    <col min="7436" max="7460" width="8.5703125" style="17" customWidth="1"/>
    <col min="7461" max="7462" width="0" style="17" hidden="1" customWidth="1"/>
    <col min="7463" max="7463" width="12.28515625" style="17" customWidth="1"/>
    <col min="7464" max="7464" width="8.7109375" style="17" customWidth="1"/>
    <col min="7465" max="7465" width="10.7109375" style="17" customWidth="1"/>
    <col min="7466" max="7466" width="9.5703125" style="17" customWidth="1"/>
    <col min="7467" max="7488" width="8.7109375" style="17" customWidth="1"/>
    <col min="7489" max="7489" width="8.85546875" style="17" customWidth="1"/>
    <col min="7490" max="7490" width="9.42578125" style="17" customWidth="1"/>
    <col min="7491" max="7491" width="9" style="17" customWidth="1"/>
    <col min="7492" max="7492" width="9.5703125" style="17" bestFit="1" customWidth="1"/>
    <col min="7493" max="7688" width="9.140625" style="17"/>
    <col min="7689" max="7689" width="3.7109375" style="17" customWidth="1"/>
    <col min="7690" max="7690" width="34.140625" style="17" customWidth="1"/>
    <col min="7691" max="7691" width="8" style="17" customWidth="1"/>
    <col min="7692" max="7716" width="8.5703125" style="17" customWidth="1"/>
    <col min="7717" max="7718" width="0" style="17" hidden="1" customWidth="1"/>
    <col min="7719" max="7719" width="12.28515625" style="17" customWidth="1"/>
    <col min="7720" max="7720" width="8.7109375" style="17" customWidth="1"/>
    <col min="7721" max="7721" width="10.7109375" style="17" customWidth="1"/>
    <col min="7722" max="7722" width="9.5703125" style="17" customWidth="1"/>
    <col min="7723" max="7744" width="8.7109375" style="17" customWidth="1"/>
    <col min="7745" max="7745" width="8.85546875" style="17" customWidth="1"/>
    <col min="7746" max="7746" width="9.42578125" style="17" customWidth="1"/>
    <col min="7747" max="7747" width="9" style="17" customWidth="1"/>
    <col min="7748" max="7748" width="9.5703125" style="17" bestFit="1" customWidth="1"/>
    <col min="7749" max="7944" width="9.140625" style="17"/>
    <col min="7945" max="7945" width="3.7109375" style="17" customWidth="1"/>
    <col min="7946" max="7946" width="34.140625" style="17" customWidth="1"/>
    <col min="7947" max="7947" width="8" style="17" customWidth="1"/>
    <col min="7948" max="7972" width="8.5703125" style="17" customWidth="1"/>
    <col min="7973" max="7974" width="0" style="17" hidden="1" customWidth="1"/>
    <col min="7975" max="7975" width="12.28515625" style="17" customWidth="1"/>
    <col min="7976" max="7976" width="8.7109375" style="17" customWidth="1"/>
    <col min="7977" max="7977" width="10.7109375" style="17" customWidth="1"/>
    <col min="7978" max="7978" width="9.5703125" style="17" customWidth="1"/>
    <col min="7979" max="8000" width="8.7109375" style="17" customWidth="1"/>
    <col min="8001" max="8001" width="8.85546875" style="17" customWidth="1"/>
    <col min="8002" max="8002" width="9.42578125" style="17" customWidth="1"/>
    <col min="8003" max="8003" width="9" style="17" customWidth="1"/>
    <col min="8004" max="8004" width="9.5703125" style="17" bestFit="1" customWidth="1"/>
    <col min="8005" max="8200" width="9.140625" style="17"/>
    <col min="8201" max="8201" width="3.7109375" style="17" customWidth="1"/>
    <col min="8202" max="8202" width="34.140625" style="17" customWidth="1"/>
    <col min="8203" max="8203" width="8" style="17" customWidth="1"/>
    <col min="8204" max="8228" width="8.5703125" style="17" customWidth="1"/>
    <col min="8229" max="8230" width="0" style="17" hidden="1" customWidth="1"/>
    <col min="8231" max="8231" width="12.28515625" style="17" customWidth="1"/>
    <col min="8232" max="8232" width="8.7109375" style="17" customWidth="1"/>
    <col min="8233" max="8233" width="10.7109375" style="17" customWidth="1"/>
    <col min="8234" max="8234" width="9.5703125" style="17" customWidth="1"/>
    <col min="8235" max="8256" width="8.7109375" style="17" customWidth="1"/>
    <col min="8257" max="8257" width="8.85546875" style="17" customWidth="1"/>
    <col min="8258" max="8258" width="9.42578125" style="17" customWidth="1"/>
    <col min="8259" max="8259" width="9" style="17" customWidth="1"/>
    <col min="8260" max="8260" width="9.5703125" style="17" bestFit="1" customWidth="1"/>
    <col min="8261" max="8456" width="9.140625" style="17"/>
    <col min="8457" max="8457" width="3.7109375" style="17" customWidth="1"/>
    <col min="8458" max="8458" width="34.140625" style="17" customWidth="1"/>
    <col min="8459" max="8459" width="8" style="17" customWidth="1"/>
    <col min="8460" max="8484" width="8.5703125" style="17" customWidth="1"/>
    <col min="8485" max="8486" width="0" style="17" hidden="1" customWidth="1"/>
    <col min="8487" max="8487" width="12.28515625" style="17" customWidth="1"/>
    <col min="8488" max="8488" width="8.7109375" style="17" customWidth="1"/>
    <col min="8489" max="8489" width="10.7109375" style="17" customWidth="1"/>
    <col min="8490" max="8490" width="9.5703125" style="17" customWidth="1"/>
    <col min="8491" max="8512" width="8.7109375" style="17" customWidth="1"/>
    <col min="8513" max="8513" width="8.85546875" style="17" customWidth="1"/>
    <col min="8514" max="8514" width="9.42578125" style="17" customWidth="1"/>
    <col min="8515" max="8515" width="9" style="17" customWidth="1"/>
    <col min="8516" max="8516" width="9.5703125" style="17" bestFit="1" customWidth="1"/>
    <col min="8517" max="8712" width="9.140625" style="17"/>
    <col min="8713" max="8713" width="3.7109375" style="17" customWidth="1"/>
    <col min="8714" max="8714" width="34.140625" style="17" customWidth="1"/>
    <col min="8715" max="8715" width="8" style="17" customWidth="1"/>
    <col min="8716" max="8740" width="8.5703125" style="17" customWidth="1"/>
    <col min="8741" max="8742" width="0" style="17" hidden="1" customWidth="1"/>
    <col min="8743" max="8743" width="12.28515625" style="17" customWidth="1"/>
    <col min="8744" max="8744" width="8.7109375" style="17" customWidth="1"/>
    <col min="8745" max="8745" width="10.7109375" style="17" customWidth="1"/>
    <col min="8746" max="8746" width="9.5703125" style="17" customWidth="1"/>
    <col min="8747" max="8768" width="8.7109375" style="17" customWidth="1"/>
    <col min="8769" max="8769" width="8.85546875" style="17" customWidth="1"/>
    <col min="8770" max="8770" width="9.42578125" style="17" customWidth="1"/>
    <col min="8771" max="8771" width="9" style="17" customWidth="1"/>
    <col min="8772" max="8772" width="9.5703125" style="17" bestFit="1" customWidth="1"/>
    <col min="8773" max="8968" width="9.140625" style="17"/>
    <col min="8969" max="8969" width="3.7109375" style="17" customWidth="1"/>
    <col min="8970" max="8970" width="34.140625" style="17" customWidth="1"/>
    <col min="8971" max="8971" width="8" style="17" customWidth="1"/>
    <col min="8972" max="8996" width="8.5703125" style="17" customWidth="1"/>
    <col min="8997" max="8998" width="0" style="17" hidden="1" customWidth="1"/>
    <col min="8999" max="8999" width="12.28515625" style="17" customWidth="1"/>
    <col min="9000" max="9000" width="8.7109375" style="17" customWidth="1"/>
    <col min="9001" max="9001" width="10.7109375" style="17" customWidth="1"/>
    <col min="9002" max="9002" width="9.5703125" style="17" customWidth="1"/>
    <col min="9003" max="9024" width="8.7109375" style="17" customWidth="1"/>
    <col min="9025" max="9025" width="8.85546875" style="17" customWidth="1"/>
    <col min="9026" max="9026" width="9.42578125" style="17" customWidth="1"/>
    <col min="9027" max="9027" width="9" style="17" customWidth="1"/>
    <col min="9028" max="9028" width="9.5703125" style="17" bestFit="1" customWidth="1"/>
    <col min="9029" max="9224" width="9.140625" style="17"/>
    <col min="9225" max="9225" width="3.7109375" style="17" customWidth="1"/>
    <col min="9226" max="9226" width="34.140625" style="17" customWidth="1"/>
    <col min="9227" max="9227" width="8" style="17" customWidth="1"/>
    <col min="9228" max="9252" width="8.5703125" style="17" customWidth="1"/>
    <col min="9253" max="9254" width="0" style="17" hidden="1" customWidth="1"/>
    <col min="9255" max="9255" width="12.28515625" style="17" customWidth="1"/>
    <col min="9256" max="9256" width="8.7109375" style="17" customWidth="1"/>
    <col min="9257" max="9257" width="10.7109375" style="17" customWidth="1"/>
    <col min="9258" max="9258" width="9.5703125" style="17" customWidth="1"/>
    <col min="9259" max="9280" width="8.7109375" style="17" customWidth="1"/>
    <col min="9281" max="9281" width="8.85546875" style="17" customWidth="1"/>
    <col min="9282" max="9282" width="9.42578125" style="17" customWidth="1"/>
    <col min="9283" max="9283" width="9" style="17" customWidth="1"/>
    <col min="9284" max="9284" width="9.5703125" style="17" bestFit="1" customWidth="1"/>
    <col min="9285" max="9480" width="9.140625" style="17"/>
    <col min="9481" max="9481" width="3.7109375" style="17" customWidth="1"/>
    <col min="9482" max="9482" width="34.140625" style="17" customWidth="1"/>
    <col min="9483" max="9483" width="8" style="17" customWidth="1"/>
    <col min="9484" max="9508" width="8.5703125" style="17" customWidth="1"/>
    <col min="9509" max="9510" width="0" style="17" hidden="1" customWidth="1"/>
    <col min="9511" max="9511" width="12.28515625" style="17" customWidth="1"/>
    <col min="9512" max="9512" width="8.7109375" style="17" customWidth="1"/>
    <col min="9513" max="9513" width="10.7109375" style="17" customWidth="1"/>
    <col min="9514" max="9514" width="9.5703125" style="17" customWidth="1"/>
    <col min="9515" max="9536" width="8.7109375" style="17" customWidth="1"/>
    <col min="9537" max="9537" width="8.85546875" style="17" customWidth="1"/>
    <col min="9538" max="9538" width="9.42578125" style="17" customWidth="1"/>
    <col min="9539" max="9539" width="9" style="17" customWidth="1"/>
    <col min="9540" max="9540" width="9.5703125" style="17" bestFit="1" customWidth="1"/>
    <col min="9541" max="9736" width="9.140625" style="17"/>
    <col min="9737" max="9737" width="3.7109375" style="17" customWidth="1"/>
    <col min="9738" max="9738" width="34.140625" style="17" customWidth="1"/>
    <col min="9739" max="9739" width="8" style="17" customWidth="1"/>
    <col min="9740" max="9764" width="8.5703125" style="17" customWidth="1"/>
    <col min="9765" max="9766" width="0" style="17" hidden="1" customWidth="1"/>
    <col min="9767" max="9767" width="12.28515625" style="17" customWidth="1"/>
    <col min="9768" max="9768" width="8.7109375" style="17" customWidth="1"/>
    <col min="9769" max="9769" width="10.7109375" style="17" customWidth="1"/>
    <col min="9770" max="9770" width="9.5703125" style="17" customWidth="1"/>
    <col min="9771" max="9792" width="8.7109375" style="17" customWidth="1"/>
    <col min="9793" max="9793" width="8.85546875" style="17" customWidth="1"/>
    <col min="9794" max="9794" width="9.42578125" style="17" customWidth="1"/>
    <col min="9795" max="9795" width="9" style="17" customWidth="1"/>
    <col min="9796" max="9796" width="9.5703125" style="17" bestFit="1" customWidth="1"/>
    <col min="9797" max="9992" width="9.140625" style="17"/>
    <col min="9993" max="9993" width="3.7109375" style="17" customWidth="1"/>
    <col min="9994" max="9994" width="34.140625" style="17" customWidth="1"/>
    <col min="9995" max="9995" width="8" style="17" customWidth="1"/>
    <col min="9996" max="10020" width="8.5703125" style="17" customWidth="1"/>
    <col min="10021" max="10022" width="0" style="17" hidden="1" customWidth="1"/>
    <col min="10023" max="10023" width="12.28515625" style="17" customWidth="1"/>
    <col min="10024" max="10024" width="8.7109375" style="17" customWidth="1"/>
    <col min="10025" max="10025" width="10.7109375" style="17" customWidth="1"/>
    <col min="10026" max="10026" width="9.5703125" style="17" customWidth="1"/>
    <col min="10027" max="10048" width="8.7109375" style="17" customWidth="1"/>
    <col min="10049" max="10049" width="8.85546875" style="17" customWidth="1"/>
    <col min="10050" max="10050" width="9.42578125" style="17" customWidth="1"/>
    <col min="10051" max="10051" width="9" style="17" customWidth="1"/>
    <col min="10052" max="10052" width="9.5703125" style="17" bestFit="1" customWidth="1"/>
    <col min="10053" max="10248" width="9.140625" style="17"/>
    <col min="10249" max="10249" width="3.7109375" style="17" customWidth="1"/>
    <col min="10250" max="10250" width="34.140625" style="17" customWidth="1"/>
    <col min="10251" max="10251" width="8" style="17" customWidth="1"/>
    <col min="10252" max="10276" width="8.5703125" style="17" customWidth="1"/>
    <col min="10277" max="10278" width="0" style="17" hidden="1" customWidth="1"/>
    <col min="10279" max="10279" width="12.28515625" style="17" customWidth="1"/>
    <col min="10280" max="10280" width="8.7109375" style="17" customWidth="1"/>
    <col min="10281" max="10281" width="10.7109375" style="17" customWidth="1"/>
    <col min="10282" max="10282" width="9.5703125" style="17" customWidth="1"/>
    <col min="10283" max="10304" width="8.7109375" style="17" customWidth="1"/>
    <col min="10305" max="10305" width="8.85546875" style="17" customWidth="1"/>
    <col min="10306" max="10306" width="9.42578125" style="17" customWidth="1"/>
    <col min="10307" max="10307" width="9" style="17" customWidth="1"/>
    <col min="10308" max="10308" width="9.5703125" style="17" bestFit="1" customWidth="1"/>
    <col min="10309" max="10504" width="9.140625" style="17"/>
    <col min="10505" max="10505" width="3.7109375" style="17" customWidth="1"/>
    <col min="10506" max="10506" width="34.140625" style="17" customWidth="1"/>
    <col min="10507" max="10507" width="8" style="17" customWidth="1"/>
    <col min="10508" max="10532" width="8.5703125" style="17" customWidth="1"/>
    <col min="10533" max="10534" width="0" style="17" hidden="1" customWidth="1"/>
    <col min="10535" max="10535" width="12.28515625" style="17" customWidth="1"/>
    <col min="10536" max="10536" width="8.7109375" style="17" customWidth="1"/>
    <col min="10537" max="10537" width="10.7109375" style="17" customWidth="1"/>
    <col min="10538" max="10538" width="9.5703125" style="17" customWidth="1"/>
    <col min="10539" max="10560" width="8.7109375" style="17" customWidth="1"/>
    <col min="10561" max="10561" width="8.85546875" style="17" customWidth="1"/>
    <col min="10562" max="10562" width="9.42578125" style="17" customWidth="1"/>
    <col min="10563" max="10563" width="9" style="17" customWidth="1"/>
    <col min="10564" max="10564" width="9.5703125" style="17" bestFit="1" customWidth="1"/>
    <col min="10565" max="10760" width="9.140625" style="17"/>
    <col min="10761" max="10761" width="3.7109375" style="17" customWidth="1"/>
    <col min="10762" max="10762" width="34.140625" style="17" customWidth="1"/>
    <col min="10763" max="10763" width="8" style="17" customWidth="1"/>
    <col min="10764" max="10788" width="8.5703125" style="17" customWidth="1"/>
    <col min="10789" max="10790" width="0" style="17" hidden="1" customWidth="1"/>
    <col min="10791" max="10791" width="12.28515625" style="17" customWidth="1"/>
    <col min="10792" max="10792" width="8.7109375" style="17" customWidth="1"/>
    <col min="10793" max="10793" width="10.7109375" style="17" customWidth="1"/>
    <col min="10794" max="10794" width="9.5703125" style="17" customWidth="1"/>
    <col min="10795" max="10816" width="8.7109375" style="17" customWidth="1"/>
    <col min="10817" max="10817" width="8.85546875" style="17" customWidth="1"/>
    <col min="10818" max="10818" width="9.42578125" style="17" customWidth="1"/>
    <col min="10819" max="10819" width="9" style="17" customWidth="1"/>
    <col min="10820" max="10820" width="9.5703125" style="17" bestFit="1" customWidth="1"/>
    <col min="10821" max="11016" width="9.140625" style="17"/>
    <col min="11017" max="11017" width="3.7109375" style="17" customWidth="1"/>
    <col min="11018" max="11018" width="34.140625" style="17" customWidth="1"/>
    <col min="11019" max="11019" width="8" style="17" customWidth="1"/>
    <col min="11020" max="11044" width="8.5703125" style="17" customWidth="1"/>
    <col min="11045" max="11046" width="0" style="17" hidden="1" customWidth="1"/>
    <col min="11047" max="11047" width="12.28515625" style="17" customWidth="1"/>
    <col min="11048" max="11048" width="8.7109375" style="17" customWidth="1"/>
    <col min="11049" max="11049" width="10.7109375" style="17" customWidth="1"/>
    <col min="11050" max="11050" width="9.5703125" style="17" customWidth="1"/>
    <col min="11051" max="11072" width="8.7109375" style="17" customWidth="1"/>
    <col min="11073" max="11073" width="8.85546875" style="17" customWidth="1"/>
    <col min="11074" max="11074" width="9.42578125" style="17" customWidth="1"/>
    <col min="11075" max="11075" width="9" style="17" customWidth="1"/>
    <col min="11076" max="11076" width="9.5703125" style="17" bestFit="1" customWidth="1"/>
    <col min="11077" max="11272" width="9.140625" style="17"/>
    <col min="11273" max="11273" width="3.7109375" style="17" customWidth="1"/>
    <col min="11274" max="11274" width="34.140625" style="17" customWidth="1"/>
    <col min="11275" max="11275" width="8" style="17" customWidth="1"/>
    <col min="11276" max="11300" width="8.5703125" style="17" customWidth="1"/>
    <col min="11301" max="11302" width="0" style="17" hidden="1" customWidth="1"/>
    <col min="11303" max="11303" width="12.28515625" style="17" customWidth="1"/>
    <col min="11304" max="11304" width="8.7109375" style="17" customWidth="1"/>
    <col min="11305" max="11305" width="10.7109375" style="17" customWidth="1"/>
    <col min="11306" max="11306" width="9.5703125" style="17" customWidth="1"/>
    <col min="11307" max="11328" width="8.7109375" style="17" customWidth="1"/>
    <col min="11329" max="11329" width="8.85546875" style="17" customWidth="1"/>
    <col min="11330" max="11330" width="9.42578125" style="17" customWidth="1"/>
    <col min="11331" max="11331" width="9" style="17" customWidth="1"/>
    <col min="11332" max="11332" width="9.5703125" style="17" bestFit="1" customWidth="1"/>
    <col min="11333" max="11528" width="9.140625" style="17"/>
    <col min="11529" max="11529" width="3.7109375" style="17" customWidth="1"/>
    <col min="11530" max="11530" width="34.140625" style="17" customWidth="1"/>
    <col min="11531" max="11531" width="8" style="17" customWidth="1"/>
    <col min="11532" max="11556" width="8.5703125" style="17" customWidth="1"/>
    <col min="11557" max="11558" width="0" style="17" hidden="1" customWidth="1"/>
    <col min="11559" max="11559" width="12.28515625" style="17" customWidth="1"/>
    <col min="11560" max="11560" width="8.7109375" style="17" customWidth="1"/>
    <col min="11561" max="11561" width="10.7109375" style="17" customWidth="1"/>
    <col min="11562" max="11562" width="9.5703125" style="17" customWidth="1"/>
    <col min="11563" max="11584" width="8.7109375" style="17" customWidth="1"/>
    <col min="11585" max="11585" width="8.85546875" style="17" customWidth="1"/>
    <col min="11586" max="11586" width="9.42578125" style="17" customWidth="1"/>
    <col min="11587" max="11587" width="9" style="17" customWidth="1"/>
    <col min="11588" max="11588" width="9.5703125" style="17" bestFit="1" customWidth="1"/>
    <col min="11589" max="11784" width="9.140625" style="17"/>
    <col min="11785" max="11785" width="3.7109375" style="17" customWidth="1"/>
    <col min="11786" max="11786" width="34.140625" style="17" customWidth="1"/>
    <col min="11787" max="11787" width="8" style="17" customWidth="1"/>
    <col min="11788" max="11812" width="8.5703125" style="17" customWidth="1"/>
    <col min="11813" max="11814" width="0" style="17" hidden="1" customWidth="1"/>
    <col min="11815" max="11815" width="12.28515625" style="17" customWidth="1"/>
    <col min="11816" max="11816" width="8.7109375" style="17" customWidth="1"/>
    <col min="11817" max="11817" width="10.7109375" style="17" customWidth="1"/>
    <col min="11818" max="11818" width="9.5703125" style="17" customWidth="1"/>
    <col min="11819" max="11840" width="8.7109375" style="17" customWidth="1"/>
    <col min="11841" max="11841" width="8.85546875" style="17" customWidth="1"/>
    <col min="11842" max="11842" width="9.42578125" style="17" customWidth="1"/>
    <col min="11843" max="11843" width="9" style="17" customWidth="1"/>
    <col min="11844" max="11844" width="9.5703125" style="17" bestFit="1" customWidth="1"/>
    <col min="11845" max="12040" width="9.140625" style="17"/>
    <col min="12041" max="12041" width="3.7109375" style="17" customWidth="1"/>
    <col min="12042" max="12042" width="34.140625" style="17" customWidth="1"/>
    <col min="12043" max="12043" width="8" style="17" customWidth="1"/>
    <col min="12044" max="12068" width="8.5703125" style="17" customWidth="1"/>
    <col min="12069" max="12070" width="0" style="17" hidden="1" customWidth="1"/>
    <col min="12071" max="12071" width="12.28515625" style="17" customWidth="1"/>
    <col min="12072" max="12072" width="8.7109375" style="17" customWidth="1"/>
    <col min="12073" max="12073" width="10.7109375" style="17" customWidth="1"/>
    <col min="12074" max="12074" width="9.5703125" style="17" customWidth="1"/>
    <col min="12075" max="12096" width="8.7109375" style="17" customWidth="1"/>
    <col min="12097" max="12097" width="8.85546875" style="17" customWidth="1"/>
    <col min="12098" max="12098" width="9.42578125" style="17" customWidth="1"/>
    <col min="12099" max="12099" width="9" style="17" customWidth="1"/>
    <col min="12100" max="12100" width="9.5703125" style="17" bestFit="1" customWidth="1"/>
    <col min="12101" max="12296" width="9.140625" style="17"/>
    <col min="12297" max="12297" width="3.7109375" style="17" customWidth="1"/>
    <col min="12298" max="12298" width="34.140625" style="17" customWidth="1"/>
    <col min="12299" max="12299" width="8" style="17" customWidth="1"/>
    <col min="12300" max="12324" width="8.5703125" style="17" customWidth="1"/>
    <col min="12325" max="12326" width="0" style="17" hidden="1" customWidth="1"/>
    <col min="12327" max="12327" width="12.28515625" style="17" customWidth="1"/>
    <col min="12328" max="12328" width="8.7109375" style="17" customWidth="1"/>
    <col min="12329" max="12329" width="10.7109375" style="17" customWidth="1"/>
    <col min="12330" max="12330" width="9.5703125" style="17" customWidth="1"/>
    <col min="12331" max="12352" width="8.7109375" style="17" customWidth="1"/>
    <col min="12353" max="12353" width="8.85546875" style="17" customWidth="1"/>
    <col min="12354" max="12354" width="9.42578125" style="17" customWidth="1"/>
    <col min="12355" max="12355" width="9" style="17" customWidth="1"/>
    <col min="12356" max="12356" width="9.5703125" style="17" bestFit="1" customWidth="1"/>
    <col min="12357" max="12552" width="9.140625" style="17"/>
    <col min="12553" max="12553" width="3.7109375" style="17" customWidth="1"/>
    <col min="12554" max="12554" width="34.140625" style="17" customWidth="1"/>
    <col min="12555" max="12555" width="8" style="17" customWidth="1"/>
    <col min="12556" max="12580" width="8.5703125" style="17" customWidth="1"/>
    <col min="12581" max="12582" width="0" style="17" hidden="1" customWidth="1"/>
    <col min="12583" max="12583" width="12.28515625" style="17" customWidth="1"/>
    <col min="12584" max="12584" width="8.7109375" style="17" customWidth="1"/>
    <col min="12585" max="12585" width="10.7109375" style="17" customWidth="1"/>
    <col min="12586" max="12586" width="9.5703125" style="17" customWidth="1"/>
    <col min="12587" max="12608" width="8.7109375" style="17" customWidth="1"/>
    <col min="12609" max="12609" width="8.85546875" style="17" customWidth="1"/>
    <col min="12610" max="12610" width="9.42578125" style="17" customWidth="1"/>
    <col min="12611" max="12611" width="9" style="17" customWidth="1"/>
    <col min="12612" max="12612" width="9.5703125" style="17" bestFit="1" customWidth="1"/>
    <col min="12613" max="12808" width="9.140625" style="17"/>
    <col min="12809" max="12809" width="3.7109375" style="17" customWidth="1"/>
    <col min="12810" max="12810" width="34.140625" style="17" customWidth="1"/>
    <col min="12811" max="12811" width="8" style="17" customWidth="1"/>
    <col min="12812" max="12836" width="8.5703125" style="17" customWidth="1"/>
    <col min="12837" max="12838" width="0" style="17" hidden="1" customWidth="1"/>
    <col min="12839" max="12839" width="12.28515625" style="17" customWidth="1"/>
    <col min="12840" max="12840" width="8.7109375" style="17" customWidth="1"/>
    <col min="12841" max="12841" width="10.7109375" style="17" customWidth="1"/>
    <col min="12842" max="12842" width="9.5703125" style="17" customWidth="1"/>
    <col min="12843" max="12864" width="8.7109375" style="17" customWidth="1"/>
    <col min="12865" max="12865" width="8.85546875" style="17" customWidth="1"/>
    <col min="12866" max="12866" width="9.42578125" style="17" customWidth="1"/>
    <col min="12867" max="12867" width="9" style="17" customWidth="1"/>
    <col min="12868" max="12868" width="9.5703125" style="17" bestFit="1" customWidth="1"/>
    <col min="12869" max="13064" width="9.140625" style="17"/>
    <col min="13065" max="13065" width="3.7109375" style="17" customWidth="1"/>
    <col min="13066" max="13066" width="34.140625" style="17" customWidth="1"/>
    <col min="13067" max="13067" width="8" style="17" customWidth="1"/>
    <col min="13068" max="13092" width="8.5703125" style="17" customWidth="1"/>
    <col min="13093" max="13094" width="0" style="17" hidden="1" customWidth="1"/>
    <col min="13095" max="13095" width="12.28515625" style="17" customWidth="1"/>
    <col min="13096" max="13096" width="8.7109375" style="17" customWidth="1"/>
    <col min="13097" max="13097" width="10.7109375" style="17" customWidth="1"/>
    <col min="13098" max="13098" width="9.5703125" style="17" customWidth="1"/>
    <col min="13099" max="13120" width="8.7109375" style="17" customWidth="1"/>
    <col min="13121" max="13121" width="8.85546875" style="17" customWidth="1"/>
    <col min="13122" max="13122" width="9.42578125" style="17" customWidth="1"/>
    <col min="13123" max="13123" width="9" style="17" customWidth="1"/>
    <col min="13124" max="13124" width="9.5703125" style="17" bestFit="1" customWidth="1"/>
    <col min="13125" max="13320" width="9.140625" style="17"/>
    <col min="13321" max="13321" width="3.7109375" style="17" customWidth="1"/>
    <col min="13322" max="13322" width="34.140625" style="17" customWidth="1"/>
    <col min="13323" max="13323" width="8" style="17" customWidth="1"/>
    <col min="13324" max="13348" width="8.5703125" style="17" customWidth="1"/>
    <col min="13349" max="13350" width="0" style="17" hidden="1" customWidth="1"/>
    <col min="13351" max="13351" width="12.28515625" style="17" customWidth="1"/>
    <col min="13352" max="13352" width="8.7109375" style="17" customWidth="1"/>
    <col min="13353" max="13353" width="10.7109375" style="17" customWidth="1"/>
    <col min="13354" max="13354" width="9.5703125" style="17" customWidth="1"/>
    <col min="13355" max="13376" width="8.7109375" style="17" customWidth="1"/>
    <col min="13377" max="13377" width="8.85546875" style="17" customWidth="1"/>
    <col min="13378" max="13378" width="9.42578125" style="17" customWidth="1"/>
    <col min="13379" max="13379" width="9" style="17" customWidth="1"/>
    <col min="13380" max="13380" width="9.5703125" style="17" bestFit="1" customWidth="1"/>
    <col min="13381" max="13576" width="9.140625" style="17"/>
    <col min="13577" max="13577" width="3.7109375" style="17" customWidth="1"/>
    <col min="13578" max="13578" width="34.140625" style="17" customWidth="1"/>
    <col min="13579" max="13579" width="8" style="17" customWidth="1"/>
    <col min="13580" max="13604" width="8.5703125" style="17" customWidth="1"/>
    <col min="13605" max="13606" width="0" style="17" hidden="1" customWidth="1"/>
    <col min="13607" max="13607" width="12.28515625" style="17" customWidth="1"/>
    <col min="13608" max="13608" width="8.7109375" style="17" customWidth="1"/>
    <col min="13609" max="13609" width="10.7109375" style="17" customWidth="1"/>
    <col min="13610" max="13610" width="9.5703125" style="17" customWidth="1"/>
    <col min="13611" max="13632" width="8.7109375" style="17" customWidth="1"/>
    <col min="13633" max="13633" width="8.85546875" style="17" customWidth="1"/>
    <col min="13634" max="13634" width="9.42578125" style="17" customWidth="1"/>
    <col min="13635" max="13635" width="9" style="17" customWidth="1"/>
    <col min="13636" max="13636" width="9.5703125" style="17" bestFit="1" customWidth="1"/>
    <col min="13637" max="13832" width="9.140625" style="17"/>
    <col min="13833" max="13833" width="3.7109375" style="17" customWidth="1"/>
    <col min="13834" max="13834" width="34.140625" style="17" customWidth="1"/>
    <col min="13835" max="13835" width="8" style="17" customWidth="1"/>
    <col min="13836" max="13860" width="8.5703125" style="17" customWidth="1"/>
    <col min="13861" max="13862" width="0" style="17" hidden="1" customWidth="1"/>
    <col min="13863" max="13863" width="12.28515625" style="17" customWidth="1"/>
    <col min="13864" max="13864" width="8.7109375" style="17" customWidth="1"/>
    <col min="13865" max="13865" width="10.7109375" style="17" customWidth="1"/>
    <col min="13866" max="13866" width="9.5703125" style="17" customWidth="1"/>
    <col min="13867" max="13888" width="8.7109375" style="17" customWidth="1"/>
    <col min="13889" max="13889" width="8.85546875" style="17" customWidth="1"/>
    <col min="13890" max="13890" width="9.42578125" style="17" customWidth="1"/>
    <col min="13891" max="13891" width="9" style="17" customWidth="1"/>
    <col min="13892" max="13892" width="9.5703125" style="17" bestFit="1" customWidth="1"/>
    <col min="13893" max="14088" width="9.140625" style="17"/>
    <col min="14089" max="14089" width="3.7109375" style="17" customWidth="1"/>
    <col min="14090" max="14090" width="34.140625" style="17" customWidth="1"/>
    <col min="14091" max="14091" width="8" style="17" customWidth="1"/>
    <col min="14092" max="14116" width="8.5703125" style="17" customWidth="1"/>
    <col min="14117" max="14118" width="0" style="17" hidden="1" customWidth="1"/>
    <col min="14119" max="14119" width="12.28515625" style="17" customWidth="1"/>
    <col min="14120" max="14120" width="8.7109375" style="17" customWidth="1"/>
    <col min="14121" max="14121" width="10.7109375" style="17" customWidth="1"/>
    <col min="14122" max="14122" width="9.5703125" style="17" customWidth="1"/>
    <col min="14123" max="14144" width="8.7109375" style="17" customWidth="1"/>
    <col min="14145" max="14145" width="8.85546875" style="17" customWidth="1"/>
    <col min="14146" max="14146" width="9.42578125" style="17" customWidth="1"/>
    <col min="14147" max="14147" width="9" style="17" customWidth="1"/>
    <col min="14148" max="14148" width="9.5703125" style="17" bestFit="1" customWidth="1"/>
    <col min="14149" max="14344" width="9.140625" style="17"/>
    <col min="14345" max="14345" width="3.7109375" style="17" customWidth="1"/>
    <col min="14346" max="14346" width="34.140625" style="17" customWidth="1"/>
    <col min="14347" max="14347" width="8" style="17" customWidth="1"/>
    <col min="14348" max="14372" width="8.5703125" style="17" customWidth="1"/>
    <col min="14373" max="14374" width="0" style="17" hidden="1" customWidth="1"/>
    <col min="14375" max="14375" width="12.28515625" style="17" customWidth="1"/>
    <col min="14376" max="14376" width="8.7109375" style="17" customWidth="1"/>
    <col min="14377" max="14377" width="10.7109375" style="17" customWidth="1"/>
    <col min="14378" max="14378" width="9.5703125" style="17" customWidth="1"/>
    <col min="14379" max="14400" width="8.7109375" style="17" customWidth="1"/>
    <col min="14401" max="14401" width="8.85546875" style="17" customWidth="1"/>
    <col min="14402" max="14402" width="9.42578125" style="17" customWidth="1"/>
    <col min="14403" max="14403" width="9" style="17" customWidth="1"/>
    <col min="14404" max="14404" width="9.5703125" style="17" bestFit="1" customWidth="1"/>
    <col min="14405" max="14600" width="9.140625" style="17"/>
    <col min="14601" max="14601" width="3.7109375" style="17" customWidth="1"/>
    <col min="14602" max="14602" width="34.140625" style="17" customWidth="1"/>
    <col min="14603" max="14603" width="8" style="17" customWidth="1"/>
    <col min="14604" max="14628" width="8.5703125" style="17" customWidth="1"/>
    <col min="14629" max="14630" width="0" style="17" hidden="1" customWidth="1"/>
    <col min="14631" max="14631" width="12.28515625" style="17" customWidth="1"/>
    <col min="14632" max="14632" width="8.7109375" style="17" customWidth="1"/>
    <col min="14633" max="14633" width="10.7109375" style="17" customWidth="1"/>
    <col min="14634" max="14634" width="9.5703125" style="17" customWidth="1"/>
    <col min="14635" max="14656" width="8.7109375" style="17" customWidth="1"/>
    <col min="14657" max="14657" width="8.85546875" style="17" customWidth="1"/>
    <col min="14658" max="14658" width="9.42578125" style="17" customWidth="1"/>
    <col min="14659" max="14659" width="9" style="17" customWidth="1"/>
    <col min="14660" max="14660" width="9.5703125" style="17" bestFit="1" customWidth="1"/>
    <col min="14661" max="14856" width="9.140625" style="17"/>
    <col min="14857" max="14857" width="3.7109375" style="17" customWidth="1"/>
    <col min="14858" max="14858" width="34.140625" style="17" customWidth="1"/>
    <col min="14859" max="14859" width="8" style="17" customWidth="1"/>
    <col min="14860" max="14884" width="8.5703125" style="17" customWidth="1"/>
    <col min="14885" max="14886" width="0" style="17" hidden="1" customWidth="1"/>
    <col min="14887" max="14887" width="12.28515625" style="17" customWidth="1"/>
    <col min="14888" max="14888" width="8.7109375" style="17" customWidth="1"/>
    <col min="14889" max="14889" width="10.7109375" style="17" customWidth="1"/>
    <col min="14890" max="14890" width="9.5703125" style="17" customWidth="1"/>
    <col min="14891" max="14912" width="8.7109375" style="17" customWidth="1"/>
    <col min="14913" max="14913" width="8.85546875" style="17" customWidth="1"/>
    <col min="14914" max="14914" width="9.42578125" style="17" customWidth="1"/>
    <col min="14915" max="14915" width="9" style="17" customWidth="1"/>
    <col min="14916" max="14916" width="9.5703125" style="17" bestFit="1" customWidth="1"/>
    <col min="14917" max="15112" width="9.140625" style="17"/>
    <col min="15113" max="15113" width="3.7109375" style="17" customWidth="1"/>
    <col min="15114" max="15114" width="34.140625" style="17" customWidth="1"/>
    <col min="15115" max="15115" width="8" style="17" customWidth="1"/>
    <col min="15116" max="15140" width="8.5703125" style="17" customWidth="1"/>
    <col min="15141" max="15142" width="0" style="17" hidden="1" customWidth="1"/>
    <col min="15143" max="15143" width="12.28515625" style="17" customWidth="1"/>
    <col min="15144" max="15144" width="8.7109375" style="17" customWidth="1"/>
    <col min="15145" max="15145" width="10.7109375" style="17" customWidth="1"/>
    <col min="15146" max="15146" width="9.5703125" style="17" customWidth="1"/>
    <col min="15147" max="15168" width="8.7109375" style="17" customWidth="1"/>
    <col min="15169" max="15169" width="8.85546875" style="17" customWidth="1"/>
    <col min="15170" max="15170" width="9.42578125" style="17" customWidth="1"/>
    <col min="15171" max="15171" width="9" style="17" customWidth="1"/>
    <col min="15172" max="15172" width="9.5703125" style="17" bestFit="1" customWidth="1"/>
    <col min="15173" max="15368" width="9.140625" style="17"/>
    <col min="15369" max="15369" width="3.7109375" style="17" customWidth="1"/>
    <col min="15370" max="15370" width="34.140625" style="17" customWidth="1"/>
    <col min="15371" max="15371" width="8" style="17" customWidth="1"/>
    <col min="15372" max="15396" width="8.5703125" style="17" customWidth="1"/>
    <col min="15397" max="15398" width="0" style="17" hidden="1" customWidth="1"/>
    <col min="15399" max="15399" width="12.28515625" style="17" customWidth="1"/>
    <col min="15400" max="15400" width="8.7109375" style="17" customWidth="1"/>
    <col min="15401" max="15401" width="10.7109375" style="17" customWidth="1"/>
    <col min="15402" max="15402" width="9.5703125" style="17" customWidth="1"/>
    <col min="15403" max="15424" width="8.7109375" style="17" customWidth="1"/>
    <col min="15425" max="15425" width="8.85546875" style="17" customWidth="1"/>
    <col min="15426" max="15426" width="9.42578125" style="17" customWidth="1"/>
    <col min="15427" max="15427" width="9" style="17" customWidth="1"/>
    <col min="15428" max="15428" width="9.5703125" style="17" bestFit="1" customWidth="1"/>
    <col min="15429" max="15624" width="9.140625" style="17"/>
    <col min="15625" max="15625" width="3.7109375" style="17" customWidth="1"/>
    <col min="15626" max="15626" width="34.140625" style="17" customWidth="1"/>
    <col min="15627" max="15627" width="8" style="17" customWidth="1"/>
    <col min="15628" max="15652" width="8.5703125" style="17" customWidth="1"/>
    <col min="15653" max="15654" width="0" style="17" hidden="1" customWidth="1"/>
    <col min="15655" max="15655" width="12.28515625" style="17" customWidth="1"/>
    <col min="15656" max="15656" width="8.7109375" style="17" customWidth="1"/>
    <col min="15657" max="15657" width="10.7109375" style="17" customWidth="1"/>
    <col min="15658" max="15658" width="9.5703125" style="17" customWidth="1"/>
    <col min="15659" max="15680" width="8.7109375" style="17" customWidth="1"/>
    <col min="15681" max="15681" width="8.85546875" style="17" customWidth="1"/>
    <col min="15682" max="15682" width="9.42578125" style="17" customWidth="1"/>
    <col min="15683" max="15683" width="9" style="17" customWidth="1"/>
    <col min="15684" max="15684" width="9.5703125" style="17" bestFit="1" customWidth="1"/>
    <col min="15685" max="15880" width="9.140625" style="17"/>
    <col min="15881" max="15881" width="3.7109375" style="17" customWidth="1"/>
    <col min="15882" max="15882" width="34.140625" style="17" customWidth="1"/>
    <col min="15883" max="15883" width="8" style="17" customWidth="1"/>
    <col min="15884" max="15908" width="8.5703125" style="17" customWidth="1"/>
    <col min="15909" max="15910" width="0" style="17" hidden="1" customWidth="1"/>
    <col min="15911" max="15911" width="12.28515625" style="17" customWidth="1"/>
    <col min="15912" max="15912" width="8.7109375" style="17" customWidth="1"/>
    <col min="15913" max="15913" width="10.7109375" style="17" customWidth="1"/>
    <col min="15914" max="15914" width="9.5703125" style="17" customWidth="1"/>
    <col min="15915" max="15936" width="8.7109375" style="17" customWidth="1"/>
    <col min="15937" max="15937" width="8.85546875" style="17" customWidth="1"/>
    <col min="15938" max="15938" width="9.42578125" style="17" customWidth="1"/>
    <col min="15939" max="15939" width="9" style="17" customWidth="1"/>
    <col min="15940" max="15940" width="9.5703125" style="17" bestFit="1" customWidth="1"/>
    <col min="15941" max="16136" width="9.140625" style="17"/>
    <col min="16137" max="16137" width="3.7109375" style="17" customWidth="1"/>
    <col min="16138" max="16138" width="34.140625" style="17" customWidth="1"/>
    <col min="16139" max="16139" width="8" style="17" customWidth="1"/>
    <col min="16140" max="16164" width="8.5703125" style="17" customWidth="1"/>
    <col min="16165" max="16166" width="0" style="17" hidden="1" customWidth="1"/>
    <col min="16167" max="16167" width="12.28515625" style="17" customWidth="1"/>
    <col min="16168" max="16168" width="8.7109375" style="17" customWidth="1"/>
    <col min="16169" max="16169" width="10.7109375" style="17" customWidth="1"/>
    <col min="16170" max="16170" width="9.5703125" style="17" customWidth="1"/>
    <col min="16171" max="16192" width="8.7109375" style="17" customWidth="1"/>
    <col min="16193" max="16193" width="8.85546875" style="17" customWidth="1"/>
    <col min="16194" max="16194" width="9.42578125" style="17" customWidth="1"/>
    <col min="16195" max="16195" width="9" style="17" customWidth="1"/>
    <col min="16196" max="16196" width="9.5703125" style="17" bestFit="1" customWidth="1"/>
    <col min="16197" max="16384" width="9.140625" style="17"/>
  </cols>
  <sheetData>
    <row r="1" spans="1:67" s="3" customFormat="1" ht="18" x14ac:dyDescent="0.25">
      <c r="A1" s="138" t="s">
        <v>61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 t="s">
        <v>0</v>
      </c>
      <c r="S1" s="442" t="s">
        <v>148</v>
      </c>
      <c r="T1" s="442"/>
      <c r="U1" s="442"/>
      <c r="V1" s="1" t="s">
        <v>117</v>
      </c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41" t="s">
        <v>26</v>
      </c>
      <c r="AR1" s="1"/>
      <c r="AS1" s="127"/>
      <c r="AT1" s="1"/>
      <c r="AU1" s="2"/>
      <c r="AV1" s="174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</row>
    <row r="2" spans="1:67" s="5" customFormat="1" ht="12.75" customHeight="1" x14ac:dyDescent="0.2">
      <c r="A2" s="4"/>
      <c r="C2" s="6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149"/>
      <c r="AR2" s="7"/>
      <c r="AS2" s="128"/>
      <c r="AT2" s="7"/>
      <c r="AU2" s="8"/>
      <c r="AV2" s="175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N2" s="4"/>
    </row>
    <row r="3" spans="1:67" s="9" customFormat="1" ht="20.25" customHeight="1" x14ac:dyDescent="0.2">
      <c r="A3" s="428" t="s">
        <v>1</v>
      </c>
      <c r="B3" s="429" t="s">
        <v>64</v>
      </c>
      <c r="C3" s="142" t="s">
        <v>63</v>
      </c>
      <c r="D3" s="191">
        <v>1</v>
      </c>
      <c r="E3" s="192">
        <v>2</v>
      </c>
      <c r="F3" s="192">
        <v>3</v>
      </c>
      <c r="G3" s="192">
        <v>4</v>
      </c>
      <c r="H3" s="192">
        <v>5</v>
      </c>
      <c r="I3" s="192">
        <v>6</v>
      </c>
      <c r="J3" s="192">
        <v>7</v>
      </c>
      <c r="K3" s="192">
        <v>8</v>
      </c>
      <c r="L3" s="192">
        <v>9</v>
      </c>
      <c r="M3" s="192">
        <v>10</v>
      </c>
      <c r="N3" s="192">
        <v>11</v>
      </c>
      <c r="O3" s="192">
        <v>12</v>
      </c>
      <c r="P3" s="192">
        <v>13</v>
      </c>
      <c r="Q3" s="192">
        <v>14</v>
      </c>
      <c r="R3" s="192">
        <v>15</v>
      </c>
      <c r="S3" s="192">
        <v>16</v>
      </c>
      <c r="T3" s="192">
        <v>17</v>
      </c>
      <c r="U3" s="192">
        <v>18</v>
      </c>
      <c r="V3" s="192">
        <v>19</v>
      </c>
      <c r="W3" s="192">
        <v>20</v>
      </c>
      <c r="X3" s="192">
        <v>21</v>
      </c>
      <c r="Y3" s="192">
        <v>22</v>
      </c>
      <c r="Z3" s="192">
        <v>23</v>
      </c>
      <c r="AA3" s="192">
        <v>24</v>
      </c>
      <c r="AB3" s="192">
        <v>25</v>
      </c>
      <c r="AC3" s="192">
        <v>26</v>
      </c>
      <c r="AD3" s="192">
        <v>27</v>
      </c>
      <c r="AE3" s="192">
        <v>28</v>
      </c>
      <c r="AF3" s="192">
        <v>29</v>
      </c>
      <c r="AG3" s="192">
        <v>30</v>
      </c>
      <c r="AH3" s="9">
        <v>31</v>
      </c>
      <c r="AI3" s="192"/>
      <c r="AJ3" s="192"/>
      <c r="AK3" s="192"/>
      <c r="AL3" s="192"/>
      <c r="AM3" s="192"/>
      <c r="AN3" s="192"/>
      <c r="AO3" s="191"/>
      <c r="AP3" s="191"/>
      <c r="AQ3" s="427"/>
      <c r="AS3" s="129"/>
      <c r="AU3" s="10"/>
      <c r="AV3" s="172"/>
    </row>
    <row r="4" spans="1:67" s="9" customFormat="1" ht="17.25" customHeight="1" x14ac:dyDescent="0.2">
      <c r="A4" s="428"/>
      <c r="B4" s="429"/>
      <c r="C4" s="428" t="s">
        <v>67</v>
      </c>
      <c r="D4" s="193" t="s">
        <v>4</v>
      </c>
      <c r="E4" s="193" t="s">
        <v>4</v>
      </c>
      <c r="F4" s="193" t="s">
        <v>4</v>
      </c>
      <c r="G4" s="193" t="s">
        <v>4</v>
      </c>
      <c r="H4" s="193" t="s">
        <v>4</v>
      </c>
      <c r="I4" s="193" t="s">
        <v>4</v>
      </c>
      <c r="J4" s="193" t="s">
        <v>4</v>
      </c>
      <c r="K4" s="193" t="s">
        <v>4</v>
      </c>
      <c r="L4" s="193" t="s">
        <v>4</v>
      </c>
      <c r="M4" s="193" t="s">
        <v>4</v>
      </c>
      <c r="N4" s="193" t="s">
        <v>4</v>
      </c>
      <c r="O4" s="193" t="s">
        <v>4</v>
      </c>
      <c r="P4" s="193" t="s">
        <v>4</v>
      </c>
      <c r="Q4" s="193" t="s">
        <v>4</v>
      </c>
      <c r="R4" s="193" t="s">
        <v>4</v>
      </c>
      <c r="S4" s="193" t="s">
        <v>4</v>
      </c>
      <c r="T4" s="193" t="s">
        <v>4</v>
      </c>
      <c r="U4" s="193" t="s">
        <v>4</v>
      </c>
      <c r="V4" s="193" t="s">
        <v>4</v>
      </c>
      <c r="W4" s="193" t="s">
        <v>4</v>
      </c>
      <c r="X4" s="193" t="s">
        <v>4</v>
      </c>
      <c r="Y4" s="194" t="s">
        <v>4</v>
      </c>
      <c r="Z4" s="194" t="s">
        <v>4</v>
      </c>
      <c r="AA4" s="194" t="s">
        <v>4</v>
      </c>
      <c r="AB4" s="194" t="s">
        <v>4</v>
      </c>
      <c r="AC4" s="194" t="s">
        <v>4</v>
      </c>
      <c r="AD4" s="194" t="s">
        <v>4</v>
      </c>
      <c r="AE4" s="194" t="s">
        <v>4</v>
      </c>
      <c r="AF4" s="194" t="s">
        <v>4</v>
      </c>
      <c r="AG4" s="194" t="s">
        <v>4</v>
      </c>
      <c r="AH4" s="194" t="s">
        <v>4</v>
      </c>
      <c r="AI4" s="194" t="s">
        <v>4</v>
      </c>
      <c r="AJ4" s="194" t="s">
        <v>4</v>
      </c>
      <c r="AK4" s="194" t="s">
        <v>4</v>
      </c>
      <c r="AL4" s="194" t="s">
        <v>4</v>
      </c>
      <c r="AM4" s="194" t="s">
        <v>4</v>
      </c>
      <c r="AN4" s="194" t="s">
        <v>4</v>
      </c>
      <c r="AO4" s="194" t="s">
        <v>4</v>
      </c>
      <c r="AP4" s="194" t="s">
        <v>4</v>
      </c>
      <c r="AQ4" s="427"/>
      <c r="AS4" s="129"/>
      <c r="AU4" s="10"/>
      <c r="AV4" s="172"/>
    </row>
    <row r="5" spans="1:67" s="6" customFormat="1" ht="42" customHeight="1" x14ac:dyDescent="0.2">
      <c r="A5" s="428"/>
      <c r="B5" s="429"/>
      <c r="C5" s="428"/>
      <c r="D5" s="196">
        <v>99.89</v>
      </c>
      <c r="E5" s="196">
        <v>99.89</v>
      </c>
      <c r="F5" s="196">
        <v>99.89</v>
      </c>
      <c r="G5" s="196">
        <v>99.89</v>
      </c>
      <c r="H5" s="196">
        <v>99.89</v>
      </c>
      <c r="I5" s="196">
        <v>99.89</v>
      </c>
      <c r="J5" s="196">
        <v>99.89</v>
      </c>
      <c r="K5" s="196">
        <v>99.89</v>
      </c>
      <c r="L5" s="196">
        <v>99.89</v>
      </c>
      <c r="M5" s="196">
        <v>99.89</v>
      </c>
      <c r="N5" s="196">
        <v>99.89</v>
      </c>
      <c r="O5" s="196">
        <v>99.89</v>
      </c>
      <c r="P5" s="196">
        <v>99.89</v>
      </c>
      <c r="Q5" s="196">
        <v>99.89</v>
      </c>
      <c r="R5" s="196">
        <v>99.89</v>
      </c>
      <c r="S5" s="196">
        <v>99.89</v>
      </c>
      <c r="T5" s="196">
        <v>99.89</v>
      </c>
      <c r="U5" s="196">
        <v>99.89</v>
      </c>
      <c r="V5" s="196">
        <v>99.89</v>
      </c>
      <c r="W5" s="196">
        <v>99.89</v>
      </c>
      <c r="X5" s="196">
        <v>99.89</v>
      </c>
      <c r="Y5" s="196">
        <v>99.89</v>
      </c>
      <c r="Z5" s="196">
        <v>99.89</v>
      </c>
      <c r="AA5" s="196">
        <v>99.89</v>
      </c>
      <c r="AB5" s="196">
        <v>99.89</v>
      </c>
      <c r="AC5" s="196">
        <v>99.89</v>
      </c>
      <c r="AD5" s="196">
        <v>99.89</v>
      </c>
      <c r="AE5" s="196">
        <v>99.89</v>
      </c>
      <c r="AF5" s="196">
        <v>99.89</v>
      </c>
      <c r="AG5" s="196">
        <v>99.89</v>
      </c>
      <c r="AH5" s="196">
        <v>99.89</v>
      </c>
      <c r="AI5" s="196"/>
      <c r="AJ5" s="196"/>
      <c r="AK5" s="196"/>
      <c r="AL5" s="196"/>
      <c r="AM5" s="196"/>
      <c r="AN5" s="196"/>
      <c r="AO5" s="196"/>
      <c r="AP5" s="196"/>
      <c r="AQ5" s="154">
        <f>SUM(D5:AP5)</f>
        <v>3096.5899999999997</v>
      </c>
      <c r="AR5" s="9"/>
      <c r="AS5" s="129"/>
      <c r="AU5" s="9" t="s">
        <v>5</v>
      </c>
      <c r="AV5" s="172"/>
    </row>
    <row r="6" spans="1:67" s="13" customFormat="1" ht="18" customHeight="1" x14ac:dyDescent="0.2">
      <c r="A6" s="158"/>
      <c r="B6" s="197" t="s">
        <v>136</v>
      </c>
      <c r="C6" s="208" t="s">
        <v>137</v>
      </c>
      <c r="D6" s="216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200"/>
      <c r="AE6" s="200"/>
      <c r="AF6" s="200"/>
      <c r="AG6" s="200"/>
      <c r="AI6" s="200"/>
      <c r="AJ6" s="200"/>
      <c r="AK6" s="200"/>
      <c r="AL6" s="200"/>
      <c r="AM6" s="200"/>
      <c r="AN6" s="200"/>
      <c r="AO6" s="200"/>
      <c r="AP6" s="200"/>
      <c r="AQ6" s="150">
        <f t="shared" ref="AQ6:AQ24" si="0">AS6</f>
        <v>0</v>
      </c>
      <c r="AR6" s="12">
        <f>SUM(D6:AP6)</f>
        <v>0</v>
      </c>
      <c r="AS6" s="178">
        <f>D6*$D$5+E6*$E$5+F6*$F$5+G6*$G$5+H6*$H$5+I6*$I$5+K6*$K$5+L6*$L$5+M6*$M$5+N6*$N$5+O6*$O$5+P6*$P$5+R6*$R$5+S6*$S$5+T6*$T$5+U6*$U$5+V6*$V$5+W6*$W$5+Y6*$Y$5+Z6*$Z$5+AA6*$AA$5+AB6*$AB$5+AC6*$AC$5+AD6*$AD$5+AF6*$AF$5+AG6*$AG$5++AI6*$AI$5+AJ6*$AJ$5+AK6*$AK$5+AL6*$AL$5+AM6*$AM$5+AN6*$AN$5+AO6*$AO$5+AP6*$AP$5</f>
        <v>0</v>
      </c>
      <c r="AU6" s="14">
        <v>3</v>
      </c>
      <c r="AV6" s="176">
        <v>29</v>
      </c>
    </row>
    <row r="7" spans="1:67" s="13" customFormat="1" ht="18" customHeight="1" x14ac:dyDescent="0.2">
      <c r="A7" s="158"/>
      <c r="B7" s="197" t="s">
        <v>104</v>
      </c>
      <c r="C7" s="208" t="s">
        <v>131</v>
      </c>
      <c r="D7" s="216">
        <v>1</v>
      </c>
      <c r="E7" s="200">
        <v>1</v>
      </c>
      <c r="F7" s="200">
        <v>1</v>
      </c>
      <c r="G7" s="200">
        <v>1</v>
      </c>
      <c r="H7" s="200"/>
      <c r="I7" s="200">
        <v>1</v>
      </c>
      <c r="J7" s="200">
        <v>1</v>
      </c>
      <c r="K7" s="200"/>
      <c r="L7" s="200">
        <v>1</v>
      </c>
      <c r="M7" s="200">
        <v>1</v>
      </c>
      <c r="N7" s="200"/>
      <c r="O7" s="200"/>
      <c r="P7" s="200">
        <v>1</v>
      </c>
      <c r="Q7" s="200"/>
      <c r="R7" s="200">
        <v>1</v>
      </c>
      <c r="S7" s="200">
        <v>1</v>
      </c>
      <c r="T7" s="200"/>
      <c r="U7" s="200"/>
      <c r="V7" s="200"/>
      <c r="W7" s="200"/>
      <c r="X7" s="200">
        <v>1</v>
      </c>
      <c r="Y7" s="200">
        <v>1</v>
      </c>
      <c r="Z7" s="200">
        <v>1</v>
      </c>
      <c r="AA7" s="200">
        <v>1</v>
      </c>
      <c r="AB7" s="200"/>
      <c r="AC7" s="200"/>
      <c r="AD7" s="200"/>
      <c r="AE7" s="200">
        <v>1</v>
      </c>
      <c r="AF7" s="200">
        <v>1</v>
      </c>
      <c r="AG7" s="200">
        <v>1</v>
      </c>
      <c r="AH7" s="14">
        <v>1</v>
      </c>
      <c r="AI7" s="200"/>
      <c r="AJ7" s="200"/>
      <c r="AK7" s="200"/>
      <c r="AL7" s="200"/>
      <c r="AM7" s="200"/>
      <c r="AN7" s="200"/>
      <c r="AO7" s="200"/>
      <c r="AP7" s="200"/>
      <c r="AQ7" s="150">
        <f t="shared" si="0"/>
        <v>1498.3500000000004</v>
      </c>
      <c r="AR7" s="12">
        <f>SUM(D7:AP7)</f>
        <v>19</v>
      </c>
      <c r="AS7" s="178">
        <f>D7*$D$5+E7*$E$5+F7*$F$5+G7*$G$5+H7*$H$5+I7*$I$5+K7*$K$5+L7*$L$5+M7*$M$5+N7*$N$5+O7*$O$5+P7*$P$5+R7*$R$5+S7*$S$5+T7*$T$5+U7*$U$5+V7*$V$5+W7*$W$5+Y7*$Y$5+Z7*$Z$5+AA7*$AA$5+AB7*$AB$5+AC7*$AC$5+AD7*$AD$5+AF7*$AF$5+AG7*$AG$5++AI7*$AI$5+AJ7*$AJ$5+AK7*$AK$5+AL7*$AL$5+AM7*$AM$5+AN7*$AN$5+AO7*$AO$5+AP7*$AP$5</f>
        <v>1498.3500000000004</v>
      </c>
      <c r="AT7" s="179"/>
      <c r="AU7" s="14">
        <v>1</v>
      </c>
      <c r="AV7" s="176">
        <v>4</v>
      </c>
    </row>
    <row r="8" spans="1:67" s="13" customFormat="1" ht="18" customHeight="1" x14ac:dyDescent="0.2">
      <c r="A8" s="158"/>
      <c r="B8" s="197" t="s">
        <v>138</v>
      </c>
      <c r="C8" s="208" t="s">
        <v>139</v>
      </c>
      <c r="D8" s="216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0"/>
      <c r="AL8" s="200"/>
      <c r="AM8" s="200"/>
      <c r="AN8" s="200"/>
      <c r="AO8" s="200"/>
      <c r="AP8" s="200"/>
      <c r="AQ8" s="150">
        <f t="shared" si="0"/>
        <v>0</v>
      </c>
      <c r="AR8" s="12">
        <f>SUM(D8:AP8)</f>
        <v>0</v>
      </c>
      <c r="AS8" s="178">
        <f>D8*$D$5+E8*$E$5+F8*$F$5+G8*$G$5+H8*$H$5+I8*$I$5+K8*$K$5+L8*$L$5+M8*$M$5+N8*$N$5+O8*$O$5+P8*$P$5+R8*$R$5+S8*$S$5+T8*$T$5+U8*$U$5+V8*$V$5+W8*$W$5+Y8*$Y$5+Z8*$Z$5+AA8*$AA$5+AB8*$AB$5+AC8*$AC$5+AD8*$AD$5+AF8*$AF$5+AH8*$AG$5++AI8*$AI$5+AJ8*$AJ$5+AK8*$AK$5+AL8*$AL$5+AM8*$AM$5+AN8*$AN$5+AO8*$AO$5+AP8*$AP$5</f>
        <v>0</v>
      </c>
      <c r="AU8" s="14">
        <v>3</v>
      </c>
      <c r="AV8" s="176">
        <v>52</v>
      </c>
    </row>
    <row r="9" spans="1:67" s="13" customFormat="1" ht="18" customHeight="1" x14ac:dyDescent="0.2">
      <c r="A9" s="158"/>
      <c r="B9" s="197" t="s">
        <v>141</v>
      </c>
      <c r="C9" s="208" t="s">
        <v>142</v>
      </c>
      <c r="D9" s="216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>
        <v>1</v>
      </c>
      <c r="AE9" s="200">
        <v>1</v>
      </c>
      <c r="AF9" s="200">
        <v>1</v>
      </c>
      <c r="AG9" s="200">
        <v>1</v>
      </c>
      <c r="AH9" s="200"/>
      <c r="AI9" s="200"/>
      <c r="AJ9" s="200"/>
      <c r="AK9" s="200"/>
      <c r="AL9" s="200"/>
      <c r="AM9" s="200"/>
      <c r="AN9" s="200"/>
      <c r="AO9" s="200"/>
      <c r="AP9" s="200"/>
      <c r="AQ9" s="150">
        <f t="shared" si="0"/>
        <v>199.78</v>
      </c>
      <c r="AR9" s="12">
        <f>SUM(D9:AP9)</f>
        <v>4</v>
      </c>
      <c r="AS9" s="178">
        <f>D9*$D$5+E9*$E$5+F9*$F$5+G9*$G$5+H9*$H$5+I9*$I$5+K9*$K$5+L9*$L$5+M9*$M$5+N9*$N$5+O9*$O$5+P9*$P$5+R9*$R$5+S9*$S$5+T9*$T$5+U9*$U$5+V9*$V$5+W9*$W$5+Y9*$Y$5+Z9*$Z$5+AA9*$AA$5+AB9*$AB$5+AC9*$AC$5+AD9*$AD$5+AF9*$AF$5+AH9*$AG$5++AI9*$AI$5+AJ9*$AJ$5+AK9*$AK$5+AL9*$AL$5+AM9*$AM$5+AN9*$AN$5+AO9*$AO$5+AP9*$AP$5</f>
        <v>199.78</v>
      </c>
      <c r="AU9" s="14">
        <v>1</v>
      </c>
      <c r="AV9" s="176">
        <v>26</v>
      </c>
    </row>
    <row r="10" spans="1:67" s="13" customFormat="1" ht="18" customHeight="1" x14ac:dyDescent="0.2">
      <c r="A10" s="158"/>
      <c r="B10" s="197" t="s">
        <v>149</v>
      </c>
      <c r="C10" s="208" t="s">
        <v>139</v>
      </c>
      <c r="D10" s="216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200"/>
      <c r="AN10" s="200"/>
      <c r="AO10" s="200"/>
      <c r="AP10" s="200"/>
      <c r="AQ10" s="150"/>
      <c r="AR10" s="12"/>
      <c r="AS10" s="178"/>
      <c r="AU10" s="14"/>
      <c r="AV10" s="176"/>
    </row>
    <row r="11" spans="1:67" s="13" customFormat="1" ht="18" customHeight="1" x14ac:dyDescent="0.2">
      <c r="A11" s="158"/>
      <c r="B11" s="197" t="s">
        <v>150</v>
      </c>
      <c r="C11" s="208" t="s">
        <v>139</v>
      </c>
      <c r="D11" s="216"/>
      <c r="E11" s="200"/>
      <c r="F11" s="200"/>
      <c r="G11" s="200"/>
      <c r="H11" s="200"/>
      <c r="I11" s="200"/>
      <c r="J11" s="200"/>
      <c r="K11" s="200"/>
      <c r="L11" s="200">
        <v>1</v>
      </c>
      <c r="M11" s="200">
        <v>1</v>
      </c>
      <c r="N11" s="200"/>
      <c r="O11" s="200"/>
      <c r="P11" s="200">
        <v>1</v>
      </c>
      <c r="Q11" s="200"/>
      <c r="R11" s="200">
        <v>1</v>
      </c>
      <c r="S11" s="200"/>
      <c r="T11" s="200">
        <v>1</v>
      </c>
      <c r="U11" s="200"/>
      <c r="V11" s="200"/>
      <c r="W11" s="200">
        <v>1</v>
      </c>
      <c r="X11" s="200">
        <v>1</v>
      </c>
      <c r="Y11" s="200">
        <v>1</v>
      </c>
      <c r="Z11" s="200">
        <v>1</v>
      </c>
      <c r="AA11" s="200">
        <v>1</v>
      </c>
      <c r="AB11" s="200"/>
      <c r="AC11" s="200"/>
      <c r="AD11" s="200"/>
      <c r="AE11" s="200">
        <v>1</v>
      </c>
      <c r="AF11" s="200">
        <v>1</v>
      </c>
      <c r="AG11" s="200"/>
      <c r="AH11" s="200">
        <v>1</v>
      </c>
      <c r="AI11" s="200"/>
      <c r="AJ11" s="200"/>
      <c r="AK11" s="200"/>
      <c r="AL11" s="200"/>
      <c r="AM11" s="200"/>
      <c r="AN11" s="200"/>
      <c r="AO11" s="200"/>
      <c r="AP11" s="200"/>
      <c r="AQ11" s="150">
        <f t="shared" si="0"/>
        <v>1098.79</v>
      </c>
      <c r="AR11" s="12">
        <f t="shared" ref="AR11:AR34" si="1">SUM(D11:AP11)</f>
        <v>13</v>
      </c>
      <c r="AS11" s="178">
        <f t="shared" ref="AS11:AS35" si="2">D11*$D$5+E11*$E$5+F11*$F$5+G11*$G$5+H11*$H$5+I11*$I$5+K11*$K$5+L11*$L$5+M11*$M$5+N11*$N$5+O11*$O$5+P11*$P$5+R11*$R$5+S11*$S$5+T11*$T$5+U11*$U$5+V11*$V$5+W11*$W$5+Y11*$Y$5+Z11*$Z$5+AA11*$AA$5+AB11*$AB$5+AC11*$AC$5+AD11*$AD$5+AF11*$AF$5+AH11*$AG$5++AI11*$AI$5+AJ11*$AJ$5+AK11*$AK$5+AL11*$AL$5+AM11*$AM$5+AN11*$AN$5+AO11*$AO$5+AP11*$AP$5</f>
        <v>1098.79</v>
      </c>
      <c r="AT11" s="179"/>
      <c r="AU11" s="14">
        <v>1</v>
      </c>
      <c r="AV11" s="176">
        <v>6</v>
      </c>
    </row>
    <row r="12" spans="1:67" s="13" customFormat="1" ht="18" hidden="1" customHeight="1" x14ac:dyDescent="0.2">
      <c r="A12" s="158"/>
      <c r="B12" s="197"/>
      <c r="C12" s="208"/>
      <c r="D12" s="216"/>
      <c r="E12" s="200"/>
      <c r="F12" s="200"/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150">
        <f t="shared" si="0"/>
        <v>0</v>
      </c>
      <c r="AR12" s="12">
        <f t="shared" si="1"/>
        <v>0</v>
      </c>
      <c r="AS12" s="178">
        <f t="shared" si="2"/>
        <v>0</v>
      </c>
      <c r="AT12" s="179"/>
      <c r="AU12" s="14"/>
      <c r="AV12" s="176"/>
    </row>
    <row r="13" spans="1:67" s="13" customFormat="1" ht="18" hidden="1" customHeight="1" x14ac:dyDescent="0.2">
      <c r="A13" s="158"/>
      <c r="B13" s="197"/>
      <c r="C13" s="209"/>
      <c r="D13" s="216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00"/>
      <c r="AP13" s="200"/>
      <c r="AQ13" s="150">
        <f t="shared" si="0"/>
        <v>0</v>
      </c>
      <c r="AR13" s="12">
        <f t="shared" si="1"/>
        <v>0</v>
      </c>
      <c r="AS13" s="178">
        <f t="shared" si="2"/>
        <v>0</v>
      </c>
      <c r="AT13" s="179"/>
      <c r="AU13" s="14">
        <v>1</v>
      </c>
      <c r="AV13" s="176">
        <v>14</v>
      </c>
      <c r="AW13" s="230"/>
      <c r="AX13" s="230"/>
      <c r="AY13" s="230"/>
      <c r="AZ13" s="230"/>
    </row>
    <row r="14" spans="1:67" s="13" customFormat="1" ht="18" hidden="1" customHeight="1" x14ac:dyDescent="0.2">
      <c r="A14" s="158"/>
      <c r="B14" s="197"/>
      <c r="C14" s="208"/>
      <c r="D14" s="216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/>
      <c r="AN14" s="200"/>
      <c r="AO14" s="200"/>
      <c r="AP14" s="200"/>
      <c r="AQ14" s="150">
        <f t="shared" si="0"/>
        <v>0</v>
      </c>
      <c r="AR14" s="12">
        <f t="shared" si="1"/>
        <v>0</v>
      </c>
      <c r="AS14" s="178">
        <f t="shared" si="2"/>
        <v>0</v>
      </c>
      <c r="AT14" s="179"/>
      <c r="AU14" s="14">
        <v>1</v>
      </c>
      <c r="AV14" s="176">
        <v>10</v>
      </c>
    </row>
    <row r="15" spans="1:67" s="13" customFormat="1" ht="18" hidden="1" customHeight="1" x14ac:dyDescent="0.2">
      <c r="A15" s="158"/>
      <c r="B15" s="197"/>
      <c r="C15" s="208"/>
      <c r="D15" s="216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200"/>
      <c r="AG15" s="200"/>
      <c r="AH15" s="200"/>
      <c r="AI15" s="200"/>
      <c r="AJ15" s="200"/>
      <c r="AK15" s="200"/>
      <c r="AL15" s="200"/>
      <c r="AM15" s="200"/>
      <c r="AN15" s="200"/>
      <c r="AO15" s="200"/>
      <c r="AP15" s="200"/>
      <c r="AQ15" s="150">
        <f t="shared" si="0"/>
        <v>0</v>
      </c>
      <c r="AR15" s="12">
        <f t="shared" si="1"/>
        <v>0</v>
      </c>
      <c r="AS15" s="178">
        <f t="shared" si="2"/>
        <v>0</v>
      </c>
      <c r="AT15" s="179"/>
      <c r="AU15" s="14">
        <v>3</v>
      </c>
      <c r="AV15" s="176"/>
    </row>
    <row r="16" spans="1:67" s="13" customFormat="1" ht="18" hidden="1" customHeight="1" x14ac:dyDescent="0.2">
      <c r="A16" s="158"/>
      <c r="B16" s="197"/>
      <c r="C16" s="208"/>
      <c r="D16" s="216"/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200"/>
      <c r="AJ16" s="200"/>
      <c r="AK16" s="200"/>
      <c r="AL16" s="200"/>
      <c r="AM16" s="200"/>
      <c r="AN16" s="200"/>
      <c r="AO16" s="200"/>
      <c r="AP16" s="200"/>
      <c r="AQ16" s="150">
        <f t="shared" si="0"/>
        <v>0</v>
      </c>
      <c r="AR16" s="12">
        <f t="shared" si="1"/>
        <v>0</v>
      </c>
      <c r="AS16" s="178">
        <f t="shared" si="2"/>
        <v>0</v>
      </c>
      <c r="AT16" s="179"/>
      <c r="AU16" s="14">
        <v>2</v>
      </c>
      <c r="AV16" s="176">
        <v>7</v>
      </c>
    </row>
    <row r="17" spans="1:48" s="13" customFormat="1" ht="18" hidden="1" customHeight="1" x14ac:dyDescent="0.2">
      <c r="A17" s="158"/>
      <c r="B17" s="197"/>
      <c r="C17" s="208"/>
      <c r="D17" s="216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200"/>
      <c r="AN17" s="200"/>
      <c r="AO17" s="200"/>
      <c r="AP17" s="200"/>
      <c r="AQ17" s="150">
        <f t="shared" si="0"/>
        <v>0</v>
      </c>
      <c r="AR17" s="12">
        <f t="shared" si="1"/>
        <v>0</v>
      </c>
      <c r="AS17" s="178">
        <f t="shared" si="2"/>
        <v>0</v>
      </c>
      <c r="AU17" s="14">
        <v>3</v>
      </c>
      <c r="AV17" s="176">
        <v>19</v>
      </c>
    </row>
    <row r="18" spans="1:48" s="13" customFormat="1" ht="18" hidden="1" customHeight="1" x14ac:dyDescent="0.2">
      <c r="A18" s="158"/>
      <c r="B18" s="197"/>
      <c r="C18" s="208"/>
      <c r="D18" s="216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200"/>
      <c r="AG18" s="200"/>
      <c r="AH18" s="200"/>
      <c r="AI18" s="200"/>
      <c r="AJ18" s="200"/>
      <c r="AK18" s="200"/>
      <c r="AL18" s="200"/>
      <c r="AM18" s="200"/>
      <c r="AN18" s="200"/>
      <c r="AO18" s="200"/>
      <c r="AP18" s="200"/>
      <c r="AQ18" s="150">
        <f t="shared" si="0"/>
        <v>0</v>
      </c>
      <c r="AR18" s="12">
        <f t="shared" si="1"/>
        <v>0</v>
      </c>
      <c r="AS18" s="178">
        <f t="shared" si="2"/>
        <v>0</v>
      </c>
      <c r="AT18" s="179"/>
      <c r="AU18" s="14">
        <v>2</v>
      </c>
      <c r="AV18" s="176">
        <v>3</v>
      </c>
    </row>
    <row r="19" spans="1:48" s="13" customFormat="1" ht="18" hidden="1" customHeight="1" x14ac:dyDescent="0.2">
      <c r="A19" s="158"/>
      <c r="B19" s="197"/>
      <c r="C19" s="208"/>
      <c r="D19" s="216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200"/>
      <c r="AQ19" s="150">
        <f t="shared" si="0"/>
        <v>0</v>
      </c>
      <c r="AR19" s="12">
        <f t="shared" si="1"/>
        <v>0</v>
      </c>
      <c r="AS19" s="178">
        <f t="shared" si="2"/>
        <v>0</v>
      </c>
      <c r="AT19" s="179"/>
      <c r="AU19" s="14">
        <v>2</v>
      </c>
      <c r="AV19" s="176">
        <v>5</v>
      </c>
    </row>
    <row r="20" spans="1:48" s="13" customFormat="1" ht="18" hidden="1" customHeight="1" x14ac:dyDescent="0.2">
      <c r="A20" s="158"/>
      <c r="B20" s="197"/>
      <c r="C20" s="210"/>
      <c r="D20" s="216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150">
        <f t="shared" si="0"/>
        <v>0</v>
      </c>
      <c r="AR20" s="12">
        <f t="shared" si="1"/>
        <v>0</v>
      </c>
      <c r="AS20" s="178">
        <f t="shared" si="2"/>
        <v>0</v>
      </c>
      <c r="AT20" s="179"/>
      <c r="AU20" s="14">
        <v>1</v>
      </c>
      <c r="AV20" s="176">
        <v>45</v>
      </c>
    </row>
    <row r="21" spans="1:48" s="13" customFormat="1" ht="18" hidden="1" customHeight="1" x14ac:dyDescent="0.2">
      <c r="A21" s="158"/>
      <c r="B21" s="197"/>
      <c r="C21" s="208"/>
      <c r="D21" s="216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200"/>
      <c r="AN21" s="200"/>
      <c r="AO21" s="200"/>
      <c r="AP21" s="200"/>
      <c r="AQ21" s="150">
        <f t="shared" si="0"/>
        <v>0</v>
      </c>
      <c r="AR21" s="12">
        <f t="shared" si="1"/>
        <v>0</v>
      </c>
      <c r="AS21" s="178">
        <f t="shared" si="2"/>
        <v>0</v>
      </c>
      <c r="AU21" s="14">
        <v>5</v>
      </c>
      <c r="AV21" s="176">
        <v>22</v>
      </c>
    </row>
    <row r="22" spans="1:48" s="13" customFormat="1" ht="18" hidden="1" customHeight="1" x14ac:dyDescent="0.2">
      <c r="A22" s="158"/>
      <c r="B22" s="197"/>
      <c r="C22" s="209"/>
      <c r="D22" s="216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00"/>
      <c r="AP22" s="200"/>
      <c r="AQ22" s="150">
        <f t="shared" si="0"/>
        <v>0</v>
      </c>
      <c r="AR22" s="12">
        <f t="shared" si="1"/>
        <v>0</v>
      </c>
      <c r="AS22" s="178">
        <f t="shared" si="2"/>
        <v>0</v>
      </c>
      <c r="AU22" s="14"/>
      <c r="AV22" s="176"/>
    </row>
    <row r="23" spans="1:48" s="13" customFormat="1" ht="24.75" hidden="1" customHeight="1" x14ac:dyDescent="0.2">
      <c r="A23" s="158"/>
      <c r="B23" s="197"/>
      <c r="C23" s="208"/>
      <c r="D23" s="216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200"/>
      <c r="AN23" s="200"/>
      <c r="AO23" s="200"/>
      <c r="AP23" s="200"/>
      <c r="AQ23" s="150">
        <f t="shared" si="0"/>
        <v>0</v>
      </c>
      <c r="AR23" s="12">
        <f t="shared" si="1"/>
        <v>0</v>
      </c>
      <c r="AS23" s="178">
        <f t="shared" si="2"/>
        <v>0</v>
      </c>
      <c r="AU23" s="14">
        <v>3</v>
      </c>
      <c r="AV23" s="176">
        <v>30</v>
      </c>
    </row>
    <row r="24" spans="1:48" ht="19.5" customHeight="1" outlineLevel="1" x14ac:dyDescent="0.2">
      <c r="A24" s="158"/>
      <c r="B24" s="197"/>
      <c r="C24" s="198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150">
        <f t="shared" si="0"/>
        <v>0</v>
      </c>
      <c r="AR24" s="12">
        <f t="shared" si="1"/>
        <v>0</v>
      </c>
      <c r="AS24" s="178">
        <f t="shared" si="2"/>
        <v>0</v>
      </c>
      <c r="AT24" s="179"/>
      <c r="AU24" s="14">
        <v>5</v>
      </c>
      <c r="AV24" s="176">
        <v>11</v>
      </c>
    </row>
    <row r="25" spans="1:48" s="13" customFormat="1" ht="18" customHeight="1" outlineLevel="1" x14ac:dyDescent="0.2">
      <c r="A25" s="158"/>
      <c r="B25" s="197"/>
      <c r="C25" s="198"/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189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89"/>
      <c r="AP25" s="189"/>
      <c r="AQ25" s="150">
        <f t="shared" ref="AQ25:AQ35" si="3">AS25</f>
        <v>0</v>
      </c>
      <c r="AR25" s="12">
        <f t="shared" si="1"/>
        <v>0</v>
      </c>
      <c r="AS25" s="178">
        <f t="shared" si="2"/>
        <v>0</v>
      </c>
      <c r="AT25" s="179"/>
      <c r="AU25" s="14"/>
      <c r="AV25" s="176"/>
    </row>
    <row r="26" spans="1:48" s="13" customFormat="1" ht="18" customHeight="1" outlineLevel="1" x14ac:dyDescent="0.2">
      <c r="A26" s="158"/>
      <c r="B26" s="197"/>
      <c r="C26" s="198"/>
      <c r="D26" s="189"/>
      <c r="E26" s="189"/>
      <c r="F26" s="189"/>
      <c r="G26" s="189"/>
      <c r="H26" s="189"/>
      <c r="I26" s="189"/>
      <c r="J26" s="189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89"/>
      <c r="AP26" s="189"/>
      <c r="AQ26" s="150">
        <f t="shared" si="3"/>
        <v>0</v>
      </c>
      <c r="AR26" s="12">
        <f t="shared" si="1"/>
        <v>0</v>
      </c>
      <c r="AS26" s="178">
        <f t="shared" si="2"/>
        <v>0</v>
      </c>
      <c r="AU26" s="14">
        <v>5</v>
      </c>
      <c r="AV26" s="176">
        <v>22</v>
      </c>
    </row>
    <row r="27" spans="1:48" s="14" customFormat="1" ht="18" customHeight="1" outlineLevel="1" x14ac:dyDescent="0.2">
      <c r="A27" s="158"/>
      <c r="B27" s="197"/>
      <c r="C27" s="198"/>
      <c r="D27" s="189"/>
      <c r="E27" s="189"/>
      <c r="F27" s="189"/>
      <c r="G27" s="189"/>
      <c r="H27" s="189"/>
      <c r="I27" s="189"/>
      <c r="J27" s="189"/>
      <c r="K27" s="189"/>
      <c r="L27" s="189"/>
      <c r="M27" s="189"/>
      <c r="N27" s="189"/>
      <c r="O27" s="189"/>
      <c r="P27" s="189"/>
      <c r="Q27" s="189"/>
      <c r="R27" s="189"/>
      <c r="S27" s="189"/>
      <c r="T27" s="189"/>
      <c r="U27" s="189"/>
      <c r="V27" s="189"/>
      <c r="W27" s="189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89"/>
      <c r="AP27" s="189"/>
      <c r="AQ27" s="150">
        <f t="shared" si="3"/>
        <v>0</v>
      </c>
      <c r="AR27" s="12">
        <f t="shared" si="1"/>
        <v>0</v>
      </c>
      <c r="AS27" s="178">
        <f t="shared" si="2"/>
        <v>0</v>
      </c>
      <c r="AT27" s="190"/>
      <c r="AU27" s="14">
        <v>1</v>
      </c>
      <c r="AV27" s="176">
        <v>15</v>
      </c>
    </row>
    <row r="28" spans="1:48" s="14" customFormat="1" ht="18" customHeight="1" outlineLevel="1" x14ac:dyDescent="0.2">
      <c r="A28" s="158"/>
      <c r="B28" s="197"/>
      <c r="C28" s="198"/>
      <c r="D28" s="189"/>
      <c r="E28" s="189"/>
      <c r="F28" s="189"/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  <c r="R28" s="189"/>
      <c r="S28" s="189"/>
      <c r="T28" s="189"/>
      <c r="U28" s="189"/>
      <c r="V28" s="189"/>
      <c r="W28" s="189"/>
      <c r="X28" s="189"/>
      <c r="Y28" s="189"/>
      <c r="Z28" s="189"/>
      <c r="AA28" s="189"/>
      <c r="AB28" s="189"/>
      <c r="AC28" s="189"/>
      <c r="AD28" s="189"/>
      <c r="AE28" s="189"/>
      <c r="AF28" s="189"/>
      <c r="AG28" s="189"/>
      <c r="AH28" s="189"/>
      <c r="AI28" s="189"/>
      <c r="AJ28" s="189"/>
      <c r="AK28" s="189"/>
      <c r="AL28" s="189"/>
      <c r="AM28" s="189"/>
      <c r="AN28" s="189"/>
      <c r="AO28" s="189"/>
      <c r="AP28" s="189"/>
      <c r="AQ28" s="150">
        <f t="shared" si="3"/>
        <v>0</v>
      </c>
      <c r="AR28" s="12">
        <f t="shared" si="1"/>
        <v>0</v>
      </c>
      <c r="AS28" s="178">
        <f t="shared" si="2"/>
        <v>0</v>
      </c>
      <c r="AT28" s="190"/>
      <c r="AV28" s="176"/>
    </row>
    <row r="29" spans="1:48" s="13" customFormat="1" ht="18" customHeight="1" outlineLevel="1" x14ac:dyDescent="0.2">
      <c r="A29" s="158"/>
      <c r="B29" s="197"/>
      <c r="C29" s="198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  <c r="AC29" s="189"/>
      <c r="AD29" s="189"/>
      <c r="AE29" s="189"/>
      <c r="AF29" s="189"/>
      <c r="AG29" s="189"/>
      <c r="AH29" s="189"/>
      <c r="AI29" s="189"/>
      <c r="AJ29" s="189"/>
      <c r="AK29" s="189"/>
      <c r="AL29" s="189"/>
      <c r="AM29" s="189"/>
      <c r="AN29" s="189"/>
      <c r="AO29" s="189"/>
      <c r="AP29" s="189"/>
      <c r="AQ29" s="150">
        <f t="shared" si="3"/>
        <v>0</v>
      </c>
      <c r="AR29" s="12">
        <f t="shared" si="1"/>
        <v>0</v>
      </c>
      <c r="AS29" s="178">
        <f t="shared" si="2"/>
        <v>0</v>
      </c>
      <c r="AU29" s="14">
        <v>1</v>
      </c>
      <c r="AV29" s="176">
        <v>51</v>
      </c>
    </row>
    <row r="30" spans="1:48" s="13" customFormat="1" ht="18" customHeight="1" outlineLevel="1" x14ac:dyDescent="0.2">
      <c r="A30" s="158"/>
      <c r="B30" s="197"/>
      <c r="C30" s="198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  <c r="AC30" s="189"/>
      <c r="AD30" s="189"/>
      <c r="AE30" s="189"/>
      <c r="AF30" s="189"/>
      <c r="AG30" s="189"/>
      <c r="AH30" s="189"/>
      <c r="AI30" s="189"/>
      <c r="AJ30" s="189"/>
      <c r="AK30" s="189"/>
      <c r="AL30" s="189"/>
      <c r="AM30" s="189"/>
      <c r="AN30" s="189"/>
      <c r="AO30" s="189"/>
      <c r="AP30" s="189"/>
      <c r="AQ30" s="150">
        <f t="shared" si="3"/>
        <v>0</v>
      </c>
      <c r="AR30" s="12">
        <f t="shared" si="1"/>
        <v>0</v>
      </c>
      <c r="AS30" s="178">
        <f t="shared" si="2"/>
        <v>0</v>
      </c>
      <c r="AU30" s="14">
        <v>3</v>
      </c>
      <c r="AV30" s="176">
        <v>23</v>
      </c>
    </row>
    <row r="31" spans="1:48" s="13" customFormat="1" ht="18" customHeight="1" outlineLevel="1" x14ac:dyDescent="0.2">
      <c r="A31" s="158"/>
      <c r="B31" s="207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189"/>
      <c r="AC31" s="189"/>
      <c r="AD31" s="189"/>
      <c r="AE31" s="189"/>
      <c r="AF31" s="189"/>
      <c r="AG31" s="189"/>
      <c r="AH31" s="189"/>
      <c r="AI31" s="189"/>
      <c r="AJ31" s="189"/>
      <c r="AK31" s="189"/>
      <c r="AL31" s="189"/>
      <c r="AM31" s="189"/>
      <c r="AN31" s="189"/>
      <c r="AO31" s="189"/>
      <c r="AP31" s="189"/>
      <c r="AQ31" s="150">
        <f t="shared" si="3"/>
        <v>0</v>
      </c>
      <c r="AR31" s="12">
        <f t="shared" si="1"/>
        <v>0</v>
      </c>
      <c r="AS31" s="178">
        <f t="shared" si="2"/>
        <v>0</v>
      </c>
      <c r="AT31" s="179"/>
      <c r="AU31" s="14">
        <v>1</v>
      </c>
      <c r="AV31" s="176">
        <v>1</v>
      </c>
    </row>
    <row r="32" spans="1:48" s="13" customFormat="1" ht="18" customHeight="1" outlineLevel="1" x14ac:dyDescent="0.2">
      <c r="A32" s="158"/>
      <c r="B32" s="197"/>
      <c r="C32" s="198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189"/>
      <c r="AA32" s="189"/>
      <c r="AB32" s="189"/>
      <c r="AC32" s="189"/>
      <c r="AD32" s="189"/>
      <c r="AE32" s="189"/>
      <c r="AF32" s="189"/>
      <c r="AG32" s="189"/>
      <c r="AH32" s="189"/>
      <c r="AI32" s="189"/>
      <c r="AJ32" s="189"/>
      <c r="AK32" s="189"/>
      <c r="AL32" s="189"/>
      <c r="AM32" s="189"/>
      <c r="AN32" s="189"/>
      <c r="AO32" s="189"/>
      <c r="AP32" s="189"/>
      <c r="AQ32" s="150">
        <f t="shared" si="3"/>
        <v>0</v>
      </c>
      <c r="AR32" s="12">
        <f t="shared" si="1"/>
        <v>0</v>
      </c>
      <c r="AS32" s="178">
        <f t="shared" si="2"/>
        <v>0</v>
      </c>
      <c r="AU32" s="14">
        <v>3</v>
      </c>
      <c r="AV32" s="176">
        <v>23</v>
      </c>
    </row>
    <row r="33" spans="1:68" s="13" customFormat="1" ht="18" customHeight="1" outlineLevel="1" x14ac:dyDescent="0.2">
      <c r="A33" s="158"/>
      <c r="B33" s="197"/>
      <c r="C33" s="198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89"/>
      <c r="AG33" s="189"/>
      <c r="AH33" s="189"/>
      <c r="AI33" s="189"/>
      <c r="AJ33" s="189"/>
      <c r="AK33" s="189"/>
      <c r="AL33" s="189"/>
      <c r="AM33" s="189"/>
      <c r="AN33" s="189"/>
      <c r="AO33" s="189"/>
      <c r="AP33" s="189"/>
      <c r="AQ33" s="150">
        <f t="shared" si="3"/>
        <v>0</v>
      </c>
      <c r="AR33" s="12">
        <f t="shared" si="1"/>
        <v>0</v>
      </c>
      <c r="AS33" s="178">
        <f t="shared" si="2"/>
        <v>0</v>
      </c>
      <c r="AU33" s="14"/>
      <c r="AV33" s="176"/>
    </row>
    <row r="34" spans="1:68" s="13" customFormat="1" ht="18" customHeight="1" outlineLevel="1" x14ac:dyDescent="0.2">
      <c r="A34" s="158"/>
      <c r="B34" s="197"/>
      <c r="C34" s="198"/>
      <c r="D34" s="189"/>
      <c r="E34" s="189"/>
      <c r="F34" s="189"/>
      <c r="G34" s="189"/>
      <c r="H34" s="189"/>
      <c r="I34" s="189"/>
      <c r="J34" s="189"/>
      <c r="K34" s="189"/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89"/>
      <c r="AM34" s="189"/>
      <c r="AN34" s="189"/>
      <c r="AO34" s="189"/>
      <c r="AP34" s="189"/>
      <c r="AQ34" s="150">
        <f t="shared" si="3"/>
        <v>0</v>
      </c>
      <c r="AR34" s="12">
        <f t="shared" si="1"/>
        <v>0</v>
      </c>
      <c r="AS34" s="178">
        <f t="shared" si="2"/>
        <v>0</v>
      </c>
      <c r="AU34" s="14"/>
      <c r="AV34" s="176"/>
    </row>
    <row r="35" spans="1:68" s="13" customFormat="1" ht="18" customHeight="1" outlineLevel="1" x14ac:dyDescent="0.2">
      <c r="A35" s="158"/>
      <c r="B35" s="197"/>
      <c r="C35" s="206"/>
      <c r="D35" s="189"/>
      <c r="E35" s="189"/>
      <c r="F35" s="189"/>
      <c r="G35" s="189"/>
      <c r="H35" s="189"/>
      <c r="I35" s="189"/>
      <c r="J35" s="189"/>
      <c r="K35" s="189"/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/>
      <c r="AE35" s="189"/>
      <c r="AF35" s="189"/>
      <c r="AG35" s="189"/>
      <c r="AH35" s="189"/>
      <c r="AI35" s="189"/>
      <c r="AJ35" s="189"/>
      <c r="AK35" s="189"/>
      <c r="AL35" s="189"/>
      <c r="AM35" s="189"/>
      <c r="AN35" s="189"/>
      <c r="AO35" s="189"/>
      <c r="AP35" s="189"/>
      <c r="AQ35" s="150">
        <f t="shared" si="3"/>
        <v>0</v>
      </c>
      <c r="AR35" s="12">
        <f>SUM(D35:AJ35)</f>
        <v>0</v>
      </c>
      <c r="AS35" s="178">
        <f t="shared" si="2"/>
        <v>0</v>
      </c>
      <c r="AU35" s="14"/>
      <c r="AV35" s="176"/>
    </row>
    <row r="36" spans="1:68" s="13" customFormat="1" ht="18" customHeight="1" outlineLevel="1" x14ac:dyDescent="0.2">
      <c r="A36" s="158"/>
      <c r="B36" s="197" t="s">
        <v>158</v>
      </c>
      <c r="C36" s="206" t="s">
        <v>157</v>
      </c>
      <c r="D36" s="189">
        <v>1</v>
      </c>
      <c r="E36" s="189">
        <v>1</v>
      </c>
      <c r="F36" s="189">
        <v>1</v>
      </c>
      <c r="G36" s="189"/>
      <c r="H36" s="189"/>
      <c r="I36" s="189">
        <v>1</v>
      </c>
      <c r="J36" s="189">
        <v>1</v>
      </c>
      <c r="K36" s="189"/>
      <c r="L36" s="189">
        <v>1</v>
      </c>
      <c r="M36" s="189">
        <v>1</v>
      </c>
      <c r="N36" s="189"/>
      <c r="O36" s="189"/>
      <c r="P36" s="189">
        <v>1</v>
      </c>
      <c r="Q36" s="189">
        <v>1</v>
      </c>
      <c r="R36" s="189">
        <v>1</v>
      </c>
      <c r="S36" s="189">
        <v>1</v>
      </c>
      <c r="T36" s="189">
        <v>1</v>
      </c>
      <c r="U36" s="189"/>
      <c r="V36" s="189"/>
      <c r="W36" s="189">
        <v>1</v>
      </c>
      <c r="X36" s="189">
        <v>1</v>
      </c>
      <c r="Y36" s="189">
        <v>1</v>
      </c>
      <c r="Z36" s="189">
        <v>1</v>
      </c>
      <c r="AA36" s="189"/>
      <c r="AB36" s="189"/>
      <c r="AC36" s="189"/>
      <c r="AD36" s="189"/>
      <c r="AE36" s="189"/>
      <c r="AF36" s="189"/>
      <c r="AG36" s="189"/>
      <c r="AH36" s="189"/>
      <c r="AI36" s="189"/>
      <c r="AJ36" s="189"/>
      <c r="AK36" s="189"/>
      <c r="AL36" s="189"/>
      <c r="AM36" s="189"/>
      <c r="AN36" s="189"/>
      <c r="AO36" s="189"/>
      <c r="AP36" s="189"/>
      <c r="AQ36" s="150"/>
      <c r="AR36" s="12"/>
      <c r="AS36" s="178"/>
      <c r="AU36" s="14"/>
      <c r="AV36" s="176"/>
    </row>
    <row r="37" spans="1:68" s="46" customFormat="1" ht="22.5" customHeight="1" x14ac:dyDescent="0.2">
      <c r="A37" s="427" t="s">
        <v>68</v>
      </c>
      <c r="B37" s="427"/>
      <c r="C37" s="201"/>
      <c r="D37" s="226">
        <f t="shared" ref="D37:AH37" si="4">SUM(D6:D35)</f>
        <v>1</v>
      </c>
      <c r="E37" s="226">
        <f t="shared" si="4"/>
        <v>1</v>
      </c>
      <c r="F37" s="226">
        <f t="shared" si="4"/>
        <v>1</v>
      </c>
      <c r="G37" s="226">
        <f t="shared" si="4"/>
        <v>1</v>
      </c>
      <c r="H37" s="226">
        <f t="shared" si="4"/>
        <v>0</v>
      </c>
      <c r="I37" s="226">
        <f t="shared" si="4"/>
        <v>1</v>
      </c>
      <c r="J37" s="226"/>
      <c r="K37" s="226">
        <f t="shared" si="4"/>
        <v>0</v>
      </c>
      <c r="L37" s="226">
        <f t="shared" si="4"/>
        <v>2</v>
      </c>
      <c r="M37" s="226">
        <f t="shared" si="4"/>
        <v>2</v>
      </c>
      <c r="N37" s="226">
        <f t="shared" si="4"/>
        <v>0</v>
      </c>
      <c r="O37" s="226">
        <f t="shared" si="4"/>
        <v>0</v>
      </c>
      <c r="P37" s="226">
        <f t="shared" si="4"/>
        <v>2</v>
      </c>
      <c r="Q37" s="226"/>
      <c r="R37" s="226">
        <f t="shared" si="4"/>
        <v>2</v>
      </c>
      <c r="S37" s="226">
        <f t="shared" si="4"/>
        <v>1</v>
      </c>
      <c r="T37" s="226">
        <f t="shared" si="4"/>
        <v>1</v>
      </c>
      <c r="U37" s="226">
        <f t="shared" si="4"/>
        <v>0</v>
      </c>
      <c r="V37" s="226">
        <f t="shared" si="4"/>
        <v>0</v>
      </c>
      <c r="W37" s="226">
        <f t="shared" si="4"/>
        <v>1</v>
      </c>
      <c r="X37" s="226"/>
      <c r="Y37" s="226">
        <f t="shared" si="4"/>
        <v>2</v>
      </c>
      <c r="Z37" s="226">
        <f t="shared" si="4"/>
        <v>2</v>
      </c>
      <c r="AA37" s="226">
        <f t="shared" si="4"/>
        <v>2</v>
      </c>
      <c r="AB37" s="226">
        <f t="shared" si="4"/>
        <v>0</v>
      </c>
      <c r="AC37" s="226">
        <f t="shared" si="4"/>
        <v>0</v>
      </c>
      <c r="AD37" s="226">
        <f t="shared" si="4"/>
        <v>1</v>
      </c>
      <c r="AE37" s="226"/>
      <c r="AF37" s="226">
        <f t="shared" si="4"/>
        <v>3</v>
      </c>
      <c r="AG37" s="226"/>
      <c r="AH37" s="226">
        <f t="shared" si="4"/>
        <v>2</v>
      </c>
      <c r="AI37" s="202">
        <f t="shared" ref="AI37:AP37" si="5">SUM(AI6:AI23)</f>
        <v>0</v>
      </c>
      <c r="AJ37" s="202">
        <f t="shared" si="5"/>
        <v>0</v>
      </c>
      <c r="AK37" s="202">
        <f t="shared" si="5"/>
        <v>0</v>
      </c>
      <c r="AL37" s="202">
        <f t="shared" si="5"/>
        <v>0</v>
      </c>
      <c r="AM37" s="202">
        <f t="shared" si="5"/>
        <v>0</v>
      </c>
      <c r="AN37" s="202">
        <f t="shared" si="5"/>
        <v>0</v>
      </c>
      <c r="AO37" s="202">
        <f t="shared" si="5"/>
        <v>0</v>
      </c>
      <c r="AP37" s="202">
        <f t="shared" si="5"/>
        <v>0</v>
      </c>
      <c r="AQ37" s="153">
        <f>SUM(D37:AP37)</f>
        <v>28</v>
      </c>
      <c r="AR37" s="144">
        <f>SUM(AR6:AR35)</f>
        <v>36</v>
      </c>
      <c r="AS37" s="178">
        <f>D37*$D$5+E37*$E$5+F37*$F$5+G37*$G$5+H37*$H$5+I37*$I$5+K37*$K$5+L37*$L$5+M37*$M$5+N37*$N$5+O37*$O$5+P37*$P$5+R37*$R$5+S37*$S$5+T37*$T$5+U37*$U$5+V37*$V$5+W37*$W$5+Y37*$Y$5+Z37*$Z$5+AA37*$AA$5+AB37*$AB$5+AC37*$AC$5+AD37*$AD$5+AF37*$AF$5+AH37*$AG$5++AI37*$AI$5+AJ37*$AJ$5+AK37*$AK$5+AL37*$AL$5+AM37*$AM$5+AN37*$AN$5+AO37*$AO$5+AP37*$AP$5</f>
        <v>2796.9200000000005</v>
      </c>
      <c r="AU37" s="143"/>
      <c r="AV37" s="177"/>
    </row>
    <row r="38" spans="1:68" s="46" customFormat="1" ht="54" customHeight="1" x14ac:dyDescent="0.2">
      <c r="A38" s="427" t="s">
        <v>69</v>
      </c>
      <c r="B38" s="427"/>
      <c r="C38" s="203"/>
      <c r="D38" s="205">
        <f t="shared" ref="D38:AP38" si="6">D37*D5</f>
        <v>99.89</v>
      </c>
      <c r="E38" s="205">
        <f t="shared" si="6"/>
        <v>99.89</v>
      </c>
      <c r="F38" s="205">
        <f t="shared" si="6"/>
        <v>99.89</v>
      </c>
      <c r="G38" s="205">
        <f t="shared" si="6"/>
        <v>99.89</v>
      </c>
      <c r="H38" s="205">
        <f t="shared" si="6"/>
        <v>0</v>
      </c>
      <c r="I38" s="205">
        <f>I37*I5</f>
        <v>99.89</v>
      </c>
      <c r="J38" s="205"/>
      <c r="K38" s="205">
        <f t="shared" si="6"/>
        <v>0</v>
      </c>
      <c r="L38" s="205">
        <f t="shared" si="6"/>
        <v>199.78</v>
      </c>
      <c r="M38" s="205">
        <f t="shared" si="6"/>
        <v>199.78</v>
      </c>
      <c r="N38" s="205">
        <f t="shared" si="6"/>
        <v>0</v>
      </c>
      <c r="O38" s="205">
        <f t="shared" si="6"/>
        <v>0</v>
      </c>
      <c r="P38" s="205">
        <f t="shared" si="6"/>
        <v>199.78</v>
      </c>
      <c r="Q38" s="205"/>
      <c r="R38" s="205">
        <f t="shared" si="6"/>
        <v>199.78</v>
      </c>
      <c r="S38" s="205">
        <f t="shared" si="6"/>
        <v>99.89</v>
      </c>
      <c r="T38" s="205">
        <f t="shared" si="6"/>
        <v>99.89</v>
      </c>
      <c r="U38" s="205">
        <f t="shared" si="6"/>
        <v>0</v>
      </c>
      <c r="V38" s="205">
        <f t="shared" si="6"/>
        <v>0</v>
      </c>
      <c r="W38" s="205">
        <f t="shared" si="6"/>
        <v>99.89</v>
      </c>
      <c r="X38" s="205"/>
      <c r="Y38" s="205">
        <f t="shared" si="6"/>
        <v>199.78</v>
      </c>
      <c r="Z38" s="205">
        <f t="shared" si="6"/>
        <v>199.78</v>
      </c>
      <c r="AA38" s="205">
        <f t="shared" si="6"/>
        <v>199.78</v>
      </c>
      <c r="AB38" s="205">
        <f t="shared" si="6"/>
        <v>0</v>
      </c>
      <c r="AC38" s="205">
        <f t="shared" si="6"/>
        <v>0</v>
      </c>
      <c r="AD38" s="205">
        <f t="shared" si="6"/>
        <v>99.89</v>
      </c>
      <c r="AE38" s="205"/>
      <c r="AF38" s="205">
        <f t="shared" si="6"/>
        <v>299.67</v>
      </c>
      <c r="AG38" s="205"/>
      <c r="AH38" s="205">
        <f>AH37*AG5</f>
        <v>199.78</v>
      </c>
      <c r="AI38" s="205">
        <f t="shared" si="6"/>
        <v>0</v>
      </c>
      <c r="AJ38" s="205">
        <f t="shared" si="6"/>
        <v>0</v>
      </c>
      <c r="AK38" s="205">
        <f t="shared" si="6"/>
        <v>0</v>
      </c>
      <c r="AL38" s="205">
        <f t="shared" si="6"/>
        <v>0</v>
      </c>
      <c r="AM38" s="205">
        <f t="shared" si="6"/>
        <v>0</v>
      </c>
      <c r="AN38" s="205">
        <f t="shared" si="6"/>
        <v>0</v>
      </c>
      <c r="AO38" s="205">
        <f t="shared" si="6"/>
        <v>0</v>
      </c>
      <c r="AP38" s="205">
        <f t="shared" si="6"/>
        <v>0</v>
      </c>
      <c r="AQ38" s="154">
        <f>SUM(D38:AP38)</f>
        <v>2796.9200000000005</v>
      </c>
      <c r="AR38" s="145"/>
      <c r="AS38" s="146"/>
      <c r="AU38" s="143"/>
      <c r="AV38" s="177"/>
    </row>
    <row r="39" spans="1:68" x14ac:dyDescent="0.2">
      <c r="BO39" s="21"/>
      <c r="BP39" s="22">
        <f>SUM(AS6:AS35)</f>
        <v>2796.92</v>
      </c>
    </row>
    <row r="40" spans="1:68" ht="29.25" hidden="1" customHeight="1" outlineLevel="1" x14ac:dyDescent="0.2">
      <c r="A40" s="17"/>
      <c r="B40" s="23"/>
      <c r="C40" s="23"/>
      <c r="D40" s="23"/>
      <c r="E40" s="23"/>
      <c r="F40" s="23"/>
      <c r="G40" s="23"/>
      <c r="H40" s="23"/>
      <c r="I40" s="23"/>
      <c r="J40" s="23"/>
      <c r="K40" s="23" t="s">
        <v>81</v>
      </c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BP40" s="24">
        <f>SUM(AQ6:AQ7)</f>
        <v>1498.3500000000004</v>
      </c>
    </row>
    <row r="41" spans="1:68" hidden="1" outlineLevel="1" x14ac:dyDescent="0.2"/>
    <row r="42" spans="1:68" hidden="1" outlineLevel="1" x14ac:dyDescent="0.2"/>
    <row r="43" spans="1:68" hidden="1" outlineLevel="1" x14ac:dyDescent="0.2">
      <c r="C43" s="29" t="s">
        <v>73</v>
      </c>
      <c r="D43" s="162">
        <f t="shared" ref="D43:K43" si="7">SUM(D6:D7)</f>
        <v>1</v>
      </c>
      <c r="E43" s="162">
        <f t="shared" si="7"/>
        <v>1</v>
      </c>
      <c r="F43" s="162">
        <f t="shared" si="7"/>
        <v>1</v>
      </c>
      <c r="G43" s="162">
        <f t="shared" si="7"/>
        <v>1</v>
      </c>
      <c r="H43" s="162">
        <f t="shared" si="7"/>
        <v>0</v>
      </c>
      <c r="I43" s="162">
        <f t="shared" si="7"/>
        <v>1</v>
      </c>
      <c r="J43" s="162"/>
      <c r="K43" s="162">
        <f t="shared" si="7"/>
        <v>0</v>
      </c>
      <c r="L43" s="162"/>
      <c r="M43" s="162">
        <f t="shared" ref="M43:AJ43" si="8">SUM(M6:M7)</f>
        <v>1</v>
      </c>
      <c r="N43" s="162">
        <f t="shared" si="8"/>
        <v>0</v>
      </c>
      <c r="O43" s="162">
        <f t="shared" si="8"/>
        <v>0</v>
      </c>
      <c r="P43" s="162">
        <f t="shared" si="8"/>
        <v>1</v>
      </c>
      <c r="Q43" s="162"/>
      <c r="R43" s="162">
        <f t="shared" si="8"/>
        <v>1</v>
      </c>
      <c r="S43" s="162">
        <f t="shared" si="8"/>
        <v>1</v>
      </c>
      <c r="T43" s="162">
        <f t="shared" si="8"/>
        <v>0</v>
      </c>
      <c r="U43" s="162">
        <f t="shared" si="8"/>
        <v>0</v>
      </c>
      <c r="V43" s="162">
        <f t="shared" si="8"/>
        <v>0</v>
      </c>
      <c r="W43" s="162">
        <f t="shared" si="8"/>
        <v>0</v>
      </c>
      <c r="X43" s="162"/>
      <c r="Y43" s="162">
        <f t="shared" si="8"/>
        <v>1</v>
      </c>
      <c r="Z43" s="162">
        <f t="shared" si="8"/>
        <v>1</v>
      </c>
      <c r="AA43" s="162">
        <f t="shared" si="8"/>
        <v>1</v>
      </c>
      <c r="AB43" s="162">
        <f t="shared" si="8"/>
        <v>0</v>
      </c>
      <c r="AC43" s="162">
        <f t="shared" si="8"/>
        <v>0</v>
      </c>
      <c r="AD43" s="162">
        <f t="shared" si="8"/>
        <v>0</v>
      </c>
      <c r="AE43" s="162"/>
      <c r="AF43" s="162">
        <f t="shared" si="8"/>
        <v>1</v>
      </c>
      <c r="AG43" s="162"/>
      <c r="AH43" s="162">
        <f>SUM(AG6:AG7)</f>
        <v>1</v>
      </c>
      <c r="AI43" s="162">
        <f t="shared" si="8"/>
        <v>0</v>
      </c>
      <c r="AJ43" s="162">
        <f t="shared" si="8"/>
        <v>0</v>
      </c>
      <c r="AK43" s="162"/>
      <c r="AL43" s="162"/>
      <c r="AM43" s="162"/>
      <c r="AN43" s="162"/>
      <c r="AO43" s="162"/>
      <c r="AP43" s="162"/>
    </row>
    <row r="44" spans="1:68" hidden="1" outlineLevel="1" x14ac:dyDescent="0.2">
      <c r="C44" s="29" t="s">
        <v>74</v>
      </c>
      <c r="D44" s="162">
        <f t="shared" ref="D44:K44" si="9">SUM(D8:D8)</f>
        <v>0</v>
      </c>
      <c r="E44" s="162">
        <f t="shared" si="9"/>
        <v>0</v>
      </c>
      <c r="F44" s="162">
        <f t="shared" si="9"/>
        <v>0</v>
      </c>
      <c r="G44" s="162">
        <f t="shared" si="9"/>
        <v>0</v>
      </c>
      <c r="H44" s="162">
        <f t="shared" si="9"/>
        <v>0</v>
      </c>
      <c r="I44" s="162">
        <f t="shared" si="9"/>
        <v>0</v>
      </c>
      <c r="J44" s="162"/>
      <c r="K44" s="162">
        <f t="shared" si="9"/>
        <v>0</v>
      </c>
      <c r="L44" s="162"/>
      <c r="M44" s="162">
        <f t="shared" ref="M44:AJ44" si="10">SUM(M8:M8)</f>
        <v>0</v>
      </c>
      <c r="N44" s="162">
        <f t="shared" si="10"/>
        <v>0</v>
      </c>
      <c r="O44" s="162">
        <f t="shared" si="10"/>
        <v>0</v>
      </c>
      <c r="P44" s="162">
        <f t="shared" si="10"/>
        <v>0</v>
      </c>
      <c r="Q44" s="162"/>
      <c r="R44" s="162">
        <f t="shared" si="10"/>
        <v>0</v>
      </c>
      <c r="S44" s="162">
        <f t="shared" si="10"/>
        <v>0</v>
      </c>
      <c r="T44" s="162">
        <f t="shared" si="10"/>
        <v>0</v>
      </c>
      <c r="U44" s="162">
        <f t="shared" si="10"/>
        <v>0</v>
      </c>
      <c r="V44" s="162">
        <f t="shared" si="10"/>
        <v>0</v>
      </c>
      <c r="W44" s="162">
        <f t="shared" si="10"/>
        <v>0</v>
      </c>
      <c r="X44" s="162"/>
      <c r="Y44" s="162">
        <f t="shared" si="10"/>
        <v>0</v>
      </c>
      <c r="Z44" s="162">
        <f t="shared" si="10"/>
        <v>0</v>
      </c>
      <c r="AA44" s="162">
        <f t="shared" si="10"/>
        <v>0</v>
      </c>
      <c r="AB44" s="162">
        <f t="shared" si="10"/>
        <v>0</v>
      </c>
      <c r="AC44" s="162">
        <f t="shared" si="10"/>
        <v>0</v>
      </c>
      <c r="AD44" s="162">
        <f t="shared" si="10"/>
        <v>0</v>
      </c>
      <c r="AE44" s="162"/>
      <c r="AF44" s="162">
        <f t="shared" si="10"/>
        <v>0</v>
      </c>
      <c r="AG44" s="162"/>
      <c r="AH44" s="162">
        <f t="shared" si="10"/>
        <v>0</v>
      </c>
      <c r="AI44" s="162">
        <f t="shared" si="10"/>
        <v>0</v>
      </c>
      <c r="AJ44" s="162">
        <f t="shared" si="10"/>
        <v>0</v>
      </c>
      <c r="AK44" s="162"/>
      <c r="AL44" s="162"/>
      <c r="AM44" s="162"/>
      <c r="AN44" s="162"/>
      <c r="AO44" s="162"/>
      <c r="AP44" s="162"/>
    </row>
    <row r="45" spans="1:68" hidden="1" outlineLevel="1" x14ac:dyDescent="0.2">
      <c r="C45" s="29" t="s">
        <v>75</v>
      </c>
      <c r="D45" s="162" t="e">
        <f>SUM(#REF!)</f>
        <v>#REF!</v>
      </c>
      <c r="E45" s="162" t="e">
        <f>SUM(#REF!)</f>
        <v>#REF!</v>
      </c>
      <c r="F45" s="162" t="e">
        <f>SUM(#REF!)</f>
        <v>#REF!</v>
      </c>
      <c r="G45" s="162" t="e">
        <f>SUM(#REF!)</f>
        <v>#REF!</v>
      </c>
      <c r="H45" s="162" t="e">
        <f>SUM(#REF!)</f>
        <v>#REF!</v>
      </c>
      <c r="I45" s="162" t="e">
        <f>SUM(#REF!)</f>
        <v>#REF!</v>
      </c>
      <c r="J45" s="162"/>
      <c r="K45" s="162" t="e">
        <f>SUM(#REF!)</f>
        <v>#REF!</v>
      </c>
      <c r="L45" s="162"/>
      <c r="M45" s="162" t="e">
        <f>SUM(#REF!)</f>
        <v>#REF!</v>
      </c>
      <c r="N45" s="162" t="e">
        <f>SUM(#REF!)</f>
        <v>#REF!</v>
      </c>
      <c r="O45" s="162" t="e">
        <f>SUM(#REF!)</f>
        <v>#REF!</v>
      </c>
      <c r="P45" s="162" t="e">
        <f>SUM(#REF!)</f>
        <v>#REF!</v>
      </c>
      <c r="Q45" s="162"/>
      <c r="R45" s="162" t="e">
        <f>SUM(#REF!)</f>
        <v>#REF!</v>
      </c>
      <c r="S45" s="162" t="e">
        <f>SUM(#REF!)</f>
        <v>#REF!</v>
      </c>
      <c r="T45" s="162" t="e">
        <f>SUM(#REF!)</f>
        <v>#REF!</v>
      </c>
      <c r="U45" s="162" t="e">
        <f>SUM(#REF!)</f>
        <v>#REF!</v>
      </c>
      <c r="V45" s="162" t="e">
        <f>SUM(#REF!)</f>
        <v>#REF!</v>
      </c>
      <c r="W45" s="162" t="e">
        <f>SUM(#REF!)</f>
        <v>#REF!</v>
      </c>
      <c r="X45" s="162"/>
      <c r="Y45" s="162" t="e">
        <f>SUM(#REF!)</f>
        <v>#REF!</v>
      </c>
      <c r="Z45" s="162" t="e">
        <f>SUM(#REF!)</f>
        <v>#REF!</v>
      </c>
      <c r="AA45" s="162" t="e">
        <f>SUM(#REF!)</f>
        <v>#REF!</v>
      </c>
      <c r="AB45" s="162" t="e">
        <f>SUM(#REF!)</f>
        <v>#REF!</v>
      </c>
      <c r="AC45" s="162" t="e">
        <f>SUM(#REF!)</f>
        <v>#REF!</v>
      </c>
      <c r="AD45" s="162" t="e">
        <f>SUM(#REF!)</f>
        <v>#REF!</v>
      </c>
      <c r="AE45" s="162"/>
      <c r="AF45" s="162" t="e">
        <f>SUM(#REF!)</f>
        <v>#REF!</v>
      </c>
      <c r="AG45" s="162"/>
      <c r="AH45" s="162" t="e">
        <f>SUM(#REF!)</f>
        <v>#REF!</v>
      </c>
      <c r="AI45" s="162" t="e">
        <f>SUM(#REF!)</f>
        <v>#REF!</v>
      </c>
      <c r="AJ45" s="162" t="e">
        <f>SUM(#REF!)</f>
        <v>#REF!</v>
      </c>
      <c r="AK45" s="162"/>
      <c r="AL45" s="162"/>
      <c r="AM45" s="162"/>
      <c r="AN45" s="162"/>
      <c r="AO45" s="162"/>
      <c r="AP45" s="162"/>
    </row>
    <row r="46" spans="1:68" hidden="1" outlineLevel="1" x14ac:dyDescent="0.2">
      <c r="A46" s="17"/>
      <c r="C46" s="29" t="s">
        <v>76</v>
      </c>
      <c r="D46" s="162">
        <f t="shared" ref="D46:K46" si="11">SUM(D9:D23)</f>
        <v>0</v>
      </c>
      <c r="E46" s="162">
        <f t="shared" si="11"/>
        <v>0</v>
      </c>
      <c r="F46" s="162">
        <f t="shared" si="11"/>
        <v>0</v>
      </c>
      <c r="G46" s="162">
        <f t="shared" si="11"/>
        <v>0</v>
      </c>
      <c r="H46" s="162">
        <f t="shared" si="11"/>
        <v>0</v>
      </c>
      <c r="I46" s="162">
        <f t="shared" si="11"/>
        <v>0</v>
      </c>
      <c r="J46" s="162"/>
      <c r="K46" s="162">
        <f t="shared" si="11"/>
        <v>0</v>
      </c>
      <c r="L46" s="162"/>
      <c r="M46" s="162">
        <f t="shared" ref="M46:AJ46" si="12">SUM(M9:M23)</f>
        <v>1</v>
      </c>
      <c r="N46" s="162">
        <f t="shared" si="12"/>
        <v>0</v>
      </c>
      <c r="O46" s="162">
        <f t="shared" si="12"/>
        <v>0</v>
      </c>
      <c r="P46" s="162">
        <f t="shared" si="12"/>
        <v>1</v>
      </c>
      <c r="Q46" s="162"/>
      <c r="R46" s="162">
        <f t="shared" si="12"/>
        <v>1</v>
      </c>
      <c r="S46" s="162">
        <f t="shared" si="12"/>
        <v>0</v>
      </c>
      <c r="T46" s="162">
        <f t="shared" si="12"/>
        <v>1</v>
      </c>
      <c r="U46" s="162">
        <f t="shared" si="12"/>
        <v>0</v>
      </c>
      <c r="V46" s="162">
        <f t="shared" si="12"/>
        <v>0</v>
      </c>
      <c r="W46" s="162">
        <f t="shared" si="12"/>
        <v>1</v>
      </c>
      <c r="X46" s="162"/>
      <c r="Y46" s="162">
        <f t="shared" si="12"/>
        <v>1</v>
      </c>
      <c r="Z46" s="162">
        <f t="shared" si="12"/>
        <v>1</v>
      </c>
      <c r="AA46" s="162">
        <f t="shared" si="12"/>
        <v>1</v>
      </c>
      <c r="AB46" s="162">
        <f t="shared" si="12"/>
        <v>0</v>
      </c>
      <c r="AC46" s="162">
        <f t="shared" si="12"/>
        <v>0</v>
      </c>
      <c r="AD46" s="162">
        <f t="shared" si="12"/>
        <v>1</v>
      </c>
      <c r="AE46" s="162"/>
      <c r="AF46" s="162">
        <f t="shared" si="12"/>
        <v>2</v>
      </c>
      <c r="AG46" s="162"/>
      <c r="AH46" s="162">
        <f t="shared" si="12"/>
        <v>1</v>
      </c>
      <c r="AI46" s="162">
        <f t="shared" si="12"/>
        <v>0</v>
      </c>
      <c r="AJ46" s="162">
        <f t="shared" si="12"/>
        <v>0</v>
      </c>
      <c r="AK46" s="162"/>
      <c r="AL46" s="162"/>
      <c r="AM46" s="162"/>
      <c r="AN46" s="162"/>
      <c r="AO46" s="162"/>
      <c r="AP46" s="162"/>
      <c r="AQ46" s="46"/>
      <c r="AR46" s="17"/>
      <c r="AS46" s="131" t="s">
        <v>6</v>
      </c>
      <c r="AT46" s="17"/>
      <c r="AU46" s="18"/>
      <c r="AV46" s="134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N46" s="17"/>
    </row>
    <row r="47" spans="1:68" hidden="1" outlineLevel="1" x14ac:dyDescent="0.2">
      <c r="D47" s="162" t="e">
        <f>SUM(D43:D46)</f>
        <v>#REF!</v>
      </c>
      <c r="E47" s="162" t="e">
        <f t="shared" ref="E47:F47" si="13">SUM(E43:E46)</f>
        <v>#REF!</v>
      </c>
      <c r="F47" s="162" t="e">
        <f t="shared" si="13"/>
        <v>#REF!</v>
      </c>
      <c r="G47" s="162" t="e">
        <f>SUM(G43:G46)</f>
        <v>#REF!</v>
      </c>
      <c r="H47" s="162" t="e">
        <f t="shared" ref="H47:AF47" si="14">SUM(H43:H46)</f>
        <v>#REF!</v>
      </c>
      <c r="I47" s="162" t="e">
        <f t="shared" si="14"/>
        <v>#REF!</v>
      </c>
      <c r="J47" s="162"/>
      <c r="K47" s="162" t="e">
        <f t="shared" si="14"/>
        <v>#REF!</v>
      </c>
      <c r="L47" s="162"/>
      <c r="M47" s="162" t="e">
        <f>SUM(M43:M46)</f>
        <v>#REF!</v>
      </c>
      <c r="N47" s="162" t="e">
        <f t="shared" si="14"/>
        <v>#REF!</v>
      </c>
      <c r="O47" s="162" t="e">
        <f t="shared" si="14"/>
        <v>#REF!</v>
      </c>
      <c r="P47" s="162" t="e">
        <f t="shared" si="14"/>
        <v>#REF!</v>
      </c>
      <c r="Q47" s="162"/>
      <c r="R47" s="162" t="e">
        <f t="shared" si="14"/>
        <v>#REF!</v>
      </c>
      <c r="S47" s="162" t="e">
        <f t="shared" si="14"/>
        <v>#REF!</v>
      </c>
      <c r="T47" s="162" t="e">
        <f t="shared" si="14"/>
        <v>#REF!</v>
      </c>
      <c r="U47" s="162" t="e">
        <f t="shared" si="14"/>
        <v>#REF!</v>
      </c>
      <c r="V47" s="162" t="e">
        <f t="shared" si="14"/>
        <v>#REF!</v>
      </c>
      <c r="W47" s="162" t="e">
        <f t="shared" si="14"/>
        <v>#REF!</v>
      </c>
      <c r="X47" s="162"/>
      <c r="Y47" s="162" t="e">
        <f t="shared" si="14"/>
        <v>#REF!</v>
      </c>
      <c r="Z47" s="162" t="e">
        <f t="shared" si="14"/>
        <v>#REF!</v>
      </c>
      <c r="AA47" s="162" t="e">
        <f t="shared" si="14"/>
        <v>#REF!</v>
      </c>
      <c r="AB47" s="162" t="e">
        <f t="shared" si="14"/>
        <v>#REF!</v>
      </c>
      <c r="AC47" s="162" t="e">
        <f t="shared" si="14"/>
        <v>#REF!</v>
      </c>
      <c r="AD47" s="162" t="e">
        <f t="shared" si="14"/>
        <v>#REF!</v>
      </c>
      <c r="AE47" s="162"/>
      <c r="AF47" s="162" t="e">
        <f t="shared" si="14"/>
        <v>#REF!</v>
      </c>
      <c r="AG47" s="162"/>
      <c r="AH47" s="162" t="e">
        <f t="shared" ref="AH47:AJ47" si="15">SUM(AH43:AH46)</f>
        <v>#REF!</v>
      </c>
      <c r="AI47" s="162" t="e">
        <f t="shared" si="15"/>
        <v>#REF!</v>
      </c>
      <c r="AJ47" s="162" t="e">
        <f t="shared" si="15"/>
        <v>#REF!</v>
      </c>
      <c r="AK47" s="162"/>
      <c r="AL47" s="162"/>
      <c r="AM47" s="162"/>
      <c r="AN47" s="162"/>
      <c r="AO47" s="162"/>
      <c r="AP47" s="162"/>
    </row>
    <row r="48" spans="1:68" hidden="1" outlineLevel="1" x14ac:dyDescent="0.2"/>
    <row r="49" hidden="1" outlineLevel="1" x14ac:dyDescent="0.2"/>
    <row r="50" collapsed="1" x14ac:dyDescent="0.2"/>
  </sheetData>
  <sortState ref="A6:AL42">
    <sortCondition ref="B6:B42"/>
  </sortState>
  <mergeCells count="7">
    <mergeCell ref="S1:U1"/>
    <mergeCell ref="A38:B38"/>
    <mergeCell ref="A3:A5"/>
    <mergeCell ref="AQ3:AQ4"/>
    <mergeCell ref="A37:B37"/>
    <mergeCell ref="C4:C5"/>
    <mergeCell ref="B3:B5"/>
  </mergeCells>
  <pageMargins left="0.31496062992125984" right="0.31496062992125984" top="0.59055118110236227" bottom="0.35433070866141736" header="0.31496062992125984" footer="0"/>
  <pageSetup paperSize="9" scale="66" orientation="landscape" r:id="rId1"/>
  <headerFooter>
    <oddFooter>&amp;LМЦК-ЧЭМК Минобразования Чувашии&amp;CТабель питания студентов-сирот&amp;Rстр.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7030A0"/>
    <pageSetUpPr fitToPage="1"/>
  </sheetPr>
  <dimension ref="A1:GL166"/>
  <sheetViews>
    <sheetView topLeftCell="A6" workbookViewId="0">
      <selection activeCell="B27" sqref="B27:E27"/>
    </sheetView>
  </sheetViews>
  <sheetFormatPr defaultColWidth="10.7109375" defaultRowHeight="12.75" outlineLevelRow="1" x14ac:dyDescent="0.2"/>
  <cols>
    <col min="1" max="1" width="7.140625" style="68" customWidth="1"/>
    <col min="2" max="2" width="16.140625" style="68" customWidth="1"/>
    <col min="3" max="3" width="15.28515625" style="68" customWidth="1"/>
    <col min="4" max="4" width="3.28515625" style="68" customWidth="1"/>
    <col min="5" max="5" width="13.7109375" style="68" customWidth="1"/>
    <col min="6" max="6" width="10.7109375" style="68" customWidth="1"/>
    <col min="7" max="7" width="6.28515625" style="68" customWidth="1"/>
    <col min="8" max="8" width="17.85546875" style="68" customWidth="1"/>
    <col min="9" max="9" width="11.140625" style="68" customWidth="1"/>
    <col min="10" max="10" width="10.7109375" style="95" customWidth="1"/>
    <col min="11" max="11" width="10.7109375" style="68" customWidth="1"/>
    <col min="12" max="256" width="10.7109375" style="68"/>
    <col min="257" max="257" width="7.140625" style="68" customWidth="1"/>
    <col min="258" max="258" width="13.28515625" style="68" customWidth="1"/>
    <col min="259" max="259" width="15.28515625" style="68" customWidth="1"/>
    <col min="260" max="260" width="3.28515625" style="68" customWidth="1"/>
    <col min="261" max="261" width="13.7109375" style="68" customWidth="1"/>
    <col min="262" max="262" width="10.7109375" style="68" customWidth="1"/>
    <col min="263" max="263" width="6.28515625" style="68" customWidth="1"/>
    <col min="264" max="264" width="17.85546875" style="68" customWidth="1"/>
    <col min="265" max="265" width="11.140625" style="68" customWidth="1"/>
    <col min="266" max="267" width="10.7109375" style="68" customWidth="1"/>
    <col min="268" max="512" width="10.7109375" style="68"/>
    <col min="513" max="513" width="7.140625" style="68" customWidth="1"/>
    <col min="514" max="514" width="13.28515625" style="68" customWidth="1"/>
    <col min="515" max="515" width="15.28515625" style="68" customWidth="1"/>
    <col min="516" max="516" width="3.28515625" style="68" customWidth="1"/>
    <col min="517" max="517" width="13.7109375" style="68" customWidth="1"/>
    <col min="518" max="518" width="10.7109375" style="68" customWidth="1"/>
    <col min="519" max="519" width="6.28515625" style="68" customWidth="1"/>
    <col min="520" max="520" width="17.85546875" style="68" customWidth="1"/>
    <col min="521" max="521" width="11.140625" style="68" customWidth="1"/>
    <col min="522" max="523" width="10.7109375" style="68" customWidth="1"/>
    <col min="524" max="768" width="10.7109375" style="68"/>
    <col min="769" max="769" width="7.140625" style="68" customWidth="1"/>
    <col min="770" max="770" width="13.28515625" style="68" customWidth="1"/>
    <col min="771" max="771" width="15.28515625" style="68" customWidth="1"/>
    <col min="772" max="772" width="3.28515625" style="68" customWidth="1"/>
    <col min="773" max="773" width="13.7109375" style="68" customWidth="1"/>
    <col min="774" max="774" width="10.7109375" style="68" customWidth="1"/>
    <col min="775" max="775" width="6.28515625" style="68" customWidth="1"/>
    <col min="776" max="776" width="17.85546875" style="68" customWidth="1"/>
    <col min="777" max="777" width="11.140625" style="68" customWidth="1"/>
    <col min="778" max="779" width="10.7109375" style="68" customWidth="1"/>
    <col min="780" max="1024" width="10.7109375" style="68"/>
    <col min="1025" max="1025" width="7.140625" style="68" customWidth="1"/>
    <col min="1026" max="1026" width="13.28515625" style="68" customWidth="1"/>
    <col min="1027" max="1027" width="15.28515625" style="68" customWidth="1"/>
    <col min="1028" max="1028" width="3.28515625" style="68" customWidth="1"/>
    <col min="1029" max="1029" width="13.7109375" style="68" customWidth="1"/>
    <col min="1030" max="1030" width="10.7109375" style="68" customWidth="1"/>
    <col min="1031" max="1031" width="6.28515625" style="68" customWidth="1"/>
    <col min="1032" max="1032" width="17.85546875" style="68" customWidth="1"/>
    <col min="1033" max="1033" width="11.140625" style="68" customWidth="1"/>
    <col min="1034" max="1035" width="10.7109375" style="68" customWidth="1"/>
    <col min="1036" max="1280" width="10.7109375" style="68"/>
    <col min="1281" max="1281" width="7.140625" style="68" customWidth="1"/>
    <col min="1282" max="1282" width="13.28515625" style="68" customWidth="1"/>
    <col min="1283" max="1283" width="15.28515625" style="68" customWidth="1"/>
    <col min="1284" max="1284" width="3.28515625" style="68" customWidth="1"/>
    <col min="1285" max="1285" width="13.7109375" style="68" customWidth="1"/>
    <col min="1286" max="1286" width="10.7109375" style="68" customWidth="1"/>
    <col min="1287" max="1287" width="6.28515625" style="68" customWidth="1"/>
    <col min="1288" max="1288" width="17.85546875" style="68" customWidth="1"/>
    <col min="1289" max="1289" width="11.140625" style="68" customWidth="1"/>
    <col min="1290" max="1291" width="10.7109375" style="68" customWidth="1"/>
    <col min="1292" max="1536" width="10.7109375" style="68"/>
    <col min="1537" max="1537" width="7.140625" style="68" customWidth="1"/>
    <col min="1538" max="1538" width="13.28515625" style="68" customWidth="1"/>
    <col min="1539" max="1539" width="15.28515625" style="68" customWidth="1"/>
    <col min="1540" max="1540" width="3.28515625" style="68" customWidth="1"/>
    <col min="1541" max="1541" width="13.7109375" style="68" customWidth="1"/>
    <col min="1542" max="1542" width="10.7109375" style="68" customWidth="1"/>
    <col min="1543" max="1543" width="6.28515625" style="68" customWidth="1"/>
    <col min="1544" max="1544" width="17.85546875" style="68" customWidth="1"/>
    <col min="1545" max="1545" width="11.140625" style="68" customWidth="1"/>
    <col min="1546" max="1547" width="10.7109375" style="68" customWidth="1"/>
    <col min="1548" max="1792" width="10.7109375" style="68"/>
    <col min="1793" max="1793" width="7.140625" style="68" customWidth="1"/>
    <col min="1794" max="1794" width="13.28515625" style="68" customWidth="1"/>
    <col min="1795" max="1795" width="15.28515625" style="68" customWidth="1"/>
    <col min="1796" max="1796" width="3.28515625" style="68" customWidth="1"/>
    <col min="1797" max="1797" width="13.7109375" style="68" customWidth="1"/>
    <col min="1798" max="1798" width="10.7109375" style="68" customWidth="1"/>
    <col min="1799" max="1799" width="6.28515625" style="68" customWidth="1"/>
    <col min="1800" max="1800" width="17.85546875" style="68" customWidth="1"/>
    <col min="1801" max="1801" width="11.140625" style="68" customWidth="1"/>
    <col min="1802" max="1803" width="10.7109375" style="68" customWidth="1"/>
    <col min="1804" max="2048" width="10.7109375" style="68"/>
    <col min="2049" max="2049" width="7.140625" style="68" customWidth="1"/>
    <col min="2050" max="2050" width="13.28515625" style="68" customWidth="1"/>
    <col min="2051" max="2051" width="15.28515625" style="68" customWidth="1"/>
    <col min="2052" max="2052" width="3.28515625" style="68" customWidth="1"/>
    <col min="2053" max="2053" width="13.7109375" style="68" customWidth="1"/>
    <col min="2054" max="2054" width="10.7109375" style="68" customWidth="1"/>
    <col min="2055" max="2055" width="6.28515625" style="68" customWidth="1"/>
    <col min="2056" max="2056" width="17.85546875" style="68" customWidth="1"/>
    <col min="2057" max="2057" width="11.140625" style="68" customWidth="1"/>
    <col min="2058" max="2059" width="10.7109375" style="68" customWidth="1"/>
    <col min="2060" max="2304" width="10.7109375" style="68"/>
    <col min="2305" max="2305" width="7.140625" style="68" customWidth="1"/>
    <col min="2306" max="2306" width="13.28515625" style="68" customWidth="1"/>
    <col min="2307" max="2307" width="15.28515625" style="68" customWidth="1"/>
    <col min="2308" max="2308" width="3.28515625" style="68" customWidth="1"/>
    <col min="2309" max="2309" width="13.7109375" style="68" customWidth="1"/>
    <col min="2310" max="2310" width="10.7109375" style="68" customWidth="1"/>
    <col min="2311" max="2311" width="6.28515625" style="68" customWidth="1"/>
    <col min="2312" max="2312" width="17.85546875" style="68" customWidth="1"/>
    <col min="2313" max="2313" width="11.140625" style="68" customWidth="1"/>
    <col min="2314" max="2315" width="10.7109375" style="68" customWidth="1"/>
    <col min="2316" max="2560" width="10.7109375" style="68"/>
    <col min="2561" max="2561" width="7.140625" style="68" customWidth="1"/>
    <col min="2562" max="2562" width="13.28515625" style="68" customWidth="1"/>
    <col min="2563" max="2563" width="15.28515625" style="68" customWidth="1"/>
    <col min="2564" max="2564" width="3.28515625" style="68" customWidth="1"/>
    <col min="2565" max="2565" width="13.7109375" style="68" customWidth="1"/>
    <col min="2566" max="2566" width="10.7109375" style="68" customWidth="1"/>
    <col min="2567" max="2567" width="6.28515625" style="68" customWidth="1"/>
    <col min="2568" max="2568" width="17.85546875" style="68" customWidth="1"/>
    <col min="2569" max="2569" width="11.140625" style="68" customWidth="1"/>
    <col min="2570" max="2571" width="10.7109375" style="68" customWidth="1"/>
    <col min="2572" max="2816" width="10.7109375" style="68"/>
    <col min="2817" max="2817" width="7.140625" style="68" customWidth="1"/>
    <col min="2818" max="2818" width="13.28515625" style="68" customWidth="1"/>
    <col min="2819" max="2819" width="15.28515625" style="68" customWidth="1"/>
    <col min="2820" max="2820" width="3.28515625" style="68" customWidth="1"/>
    <col min="2821" max="2821" width="13.7109375" style="68" customWidth="1"/>
    <col min="2822" max="2822" width="10.7109375" style="68" customWidth="1"/>
    <col min="2823" max="2823" width="6.28515625" style="68" customWidth="1"/>
    <col min="2824" max="2824" width="17.85546875" style="68" customWidth="1"/>
    <col min="2825" max="2825" width="11.140625" style="68" customWidth="1"/>
    <col min="2826" max="2827" width="10.7109375" style="68" customWidth="1"/>
    <col min="2828" max="3072" width="10.7109375" style="68"/>
    <col min="3073" max="3073" width="7.140625" style="68" customWidth="1"/>
    <col min="3074" max="3074" width="13.28515625" style="68" customWidth="1"/>
    <col min="3075" max="3075" width="15.28515625" style="68" customWidth="1"/>
    <col min="3076" max="3076" width="3.28515625" style="68" customWidth="1"/>
    <col min="3077" max="3077" width="13.7109375" style="68" customWidth="1"/>
    <col min="3078" max="3078" width="10.7109375" style="68" customWidth="1"/>
    <col min="3079" max="3079" width="6.28515625" style="68" customWidth="1"/>
    <col min="3080" max="3080" width="17.85546875" style="68" customWidth="1"/>
    <col min="3081" max="3081" width="11.140625" style="68" customWidth="1"/>
    <col min="3082" max="3083" width="10.7109375" style="68" customWidth="1"/>
    <col min="3084" max="3328" width="10.7109375" style="68"/>
    <col min="3329" max="3329" width="7.140625" style="68" customWidth="1"/>
    <col min="3330" max="3330" width="13.28515625" style="68" customWidth="1"/>
    <col min="3331" max="3331" width="15.28515625" style="68" customWidth="1"/>
    <col min="3332" max="3332" width="3.28515625" style="68" customWidth="1"/>
    <col min="3333" max="3333" width="13.7109375" style="68" customWidth="1"/>
    <col min="3334" max="3334" width="10.7109375" style="68" customWidth="1"/>
    <col min="3335" max="3335" width="6.28515625" style="68" customWidth="1"/>
    <col min="3336" max="3336" width="17.85546875" style="68" customWidth="1"/>
    <col min="3337" max="3337" width="11.140625" style="68" customWidth="1"/>
    <col min="3338" max="3339" width="10.7109375" style="68" customWidth="1"/>
    <col min="3340" max="3584" width="10.7109375" style="68"/>
    <col min="3585" max="3585" width="7.140625" style="68" customWidth="1"/>
    <col min="3586" max="3586" width="13.28515625" style="68" customWidth="1"/>
    <col min="3587" max="3587" width="15.28515625" style="68" customWidth="1"/>
    <col min="3588" max="3588" width="3.28515625" style="68" customWidth="1"/>
    <col min="3589" max="3589" width="13.7109375" style="68" customWidth="1"/>
    <col min="3590" max="3590" width="10.7109375" style="68" customWidth="1"/>
    <col min="3591" max="3591" width="6.28515625" style="68" customWidth="1"/>
    <col min="3592" max="3592" width="17.85546875" style="68" customWidth="1"/>
    <col min="3593" max="3593" width="11.140625" style="68" customWidth="1"/>
    <col min="3594" max="3595" width="10.7109375" style="68" customWidth="1"/>
    <col min="3596" max="3840" width="10.7109375" style="68"/>
    <col min="3841" max="3841" width="7.140625" style="68" customWidth="1"/>
    <col min="3842" max="3842" width="13.28515625" style="68" customWidth="1"/>
    <col min="3843" max="3843" width="15.28515625" style="68" customWidth="1"/>
    <col min="3844" max="3844" width="3.28515625" style="68" customWidth="1"/>
    <col min="3845" max="3845" width="13.7109375" style="68" customWidth="1"/>
    <col min="3846" max="3846" width="10.7109375" style="68" customWidth="1"/>
    <col min="3847" max="3847" width="6.28515625" style="68" customWidth="1"/>
    <col min="3848" max="3848" width="17.85546875" style="68" customWidth="1"/>
    <col min="3849" max="3849" width="11.140625" style="68" customWidth="1"/>
    <col min="3850" max="3851" width="10.7109375" style="68" customWidth="1"/>
    <col min="3852" max="4096" width="10.7109375" style="68"/>
    <col min="4097" max="4097" width="7.140625" style="68" customWidth="1"/>
    <col min="4098" max="4098" width="13.28515625" style="68" customWidth="1"/>
    <col min="4099" max="4099" width="15.28515625" style="68" customWidth="1"/>
    <col min="4100" max="4100" width="3.28515625" style="68" customWidth="1"/>
    <col min="4101" max="4101" width="13.7109375" style="68" customWidth="1"/>
    <col min="4102" max="4102" width="10.7109375" style="68" customWidth="1"/>
    <col min="4103" max="4103" width="6.28515625" style="68" customWidth="1"/>
    <col min="4104" max="4104" width="17.85546875" style="68" customWidth="1"/>
    <col min="4105" max="4105" width="11.140625" style="68" customWidth="1"/>
    <col min="4106" max="4107" width="10.7109375" style="68" customWidth="1"/>
    <col min="4108" max="4352" width="10.7109375" style="68"/>
    <col min="4353" max="4353" width="7.140625" style="68" customWidth="1"/>
    <col min="4354" max="4354" width="13.28515625" style="68" customWidth="1"/>
    <col min="4355" max="4355" width="15.28515625" style="68" customWidth="1"/>
    <col min="4356" max="4356" width="3.28515625" style="68" customWidth="1"/>
    <col min="4357" max="4357" width="13.7109375" style="68" customWidth="1"/>
    <col min="4358" max="4358" width="10.7109375" style="68" customWidth="1"/>
    <col min="4359" max="4359" width="6.28515625" style="68" customWidth="1"/>
    <col min="4360" max="4360" width="17.85546875" style="68" customWidth="1"/>
    <col min="4361" max="4361" width="11.140625" style="68" customWidth="1"/>
    <col min="4362" max="4363" width="10.7109375" style="68" customWidth="1"/>
    <col min="4364" max="4608" width="10.7109375" style="68"/>
    <col min="4609" max="4609" width="7.140625" style="68" customWidth="1"/>
    <col min="4610" max="4610" width="13.28515625" style="68" customWidth="1"/>
    <col min="4611" max="4611" width="15.28515625" style="68" customWidth="1"/>
    <col min="4612" max="4612" width="3.28515625" style="68" customWidth="1"/>
    <col min="4613" max="4613" width="13.7109375" style="68" customWidth="1"/>
    <col min="4614" max="4614" width="10.7109375" style="68" customWidth="1"/>
    <col min="4615" max="4615" width="6.28515625" style="68" customWidth="1"/>
    <col min="4616" max="4616" width="17.85546875" style="68" customWidth="1"/>
    <col min="4617" max="4617" width="11.140625" style="68" customWidth="1"/>
    <col min="4618" max="4619" width="10.7109375" style="68" customWidth="1"/>
    <col min="4620" max="4864" width="10.7109375" style="68"/>
    <col min="4865" max="4865" width="7.140625" style="68" customWidth="1"/>
    <col min="4866" max="4866" width="13.28515625" style="68" customWidth="1"/>
    <col min="4867" max="4867" width="15.28515625" style="68" customWidth="1"/>
    <col min="4868" max="4868" width="3.28515625" style="68" customWidth="1"/>
    <col min="4869" max="4869" width="13.7109375" style="68" customWidth="1"/>
    <col min="4870" max="4870" width="10.7109375" style="68" customWidth="1"/>
    <col min="4871" max="4871" width="6.28515625" style="68" customWidth="1"/>
    <col min="4872" max="4872" width="17.85546875" style="68" customWidth="1"/>
    <col min="4873" max="4873" width="11.140625" style="68" customWidth="1"/>
    <col min="4874" max="4875" width="10.7109375" style="68" customWidth="1"/>
    <col min="4876" max="5120" width="10.7109375" style="68"/>
    <col min="5121" max="5121" width="7.140625" style="68" customWidth="1"/>
    <col min="5122" max="5122" width="13.28515625" style="68" customWidth="1"/>
    <col min="5123" max="5123" width="15.28515625" style="68" customWidth="1"/>
    <col min="5124" max="5124" width="3.28515625" style="68" customWidth="1"/>
    <col min="5125" max="5125" width="13.7109375" style="68" customWidth="1"/>
    <col min="5126" max="5126" width="10.7109375" style="68" customWidth="1"/>
    <col min="5127" max="5127" width="6.28515625" style="68" customWidth="1"/>
    <col min="5128" max="5128" width="17.85546875" style="68" customWidth="1"/>
    <col min="5129" max="5129" width="11.140625" style="68" customWidth="1"/>
    <col min="5130" max="5131" width="10.7109375" style="68" customWidth="1"/>
    <col min="5132" max="5376" width="10.7109375" style="68"/>
    <col min="5377" max="5377" width="7.140625" style="68" customWidth="1"/>
    <col min="5378" max="5378" width="13.28515625" style="68" customWidth="1"/>
    <col min="5379" max="5379" width="15.28515625" style="68" customWidth="1"/>
    <col min="5380" max="5380" width="3.28515625" style="68" customWidth="1"/>
    <col min="5381" max="5381" width="13.7109375" style="68" customWidth="1"/>
    <col min="5382" max="5382" width="10.7109375" style="68" customWidth="1"/>
    <col min="5383" max="5383" width="6.28515625" style="68" customWidth="1"/>
    <col min="5384" max="5384" width="17.85546875" style="68" customWidth="1"/>
    <col min="5385" max="5385" width="11.140625" style="68" customWidth="1"/>
    <col min="5386" max="5387" width="10.7109375" style="68" customWidth="1"/>
    <col min="5388" max="5632" width="10.7109375" style="68"/>
    <col min="5633" max="5633" width="7.140625" style="68" customWidth="1"/>
    <col min="5634" max="5634" width="13.28515625" style="68" customWidth="1"/>
    <col min="5635" max="5635" width="15.28515625" style="68" customWidth="1"/>
    <col min="5636" max="5636" width="3.28515625" style="68" customWidth="1"/>
    <col min="5637" max="5637" width="13.7109375" style="68" customWidth="1"/>
    <col min="5638" max="5638" width="10.7109375" style="68" customWidth="1"/>
    <col min="5639" max="5639" width="6.28515625" style="68" customWidth="1"/>
    <col min="5640" max="5640" width="17.85546875" style="68" customWidth="1"/>
    <col min="5641" max="5641" width="11.140625" style="68" customWidth="1"/>
    <col min="5642" max="5643" width="10.7109375" style="68" customWidth="1"/>
    <col min="5644" max="5888" width="10.7109375" style="68"/>
    <col min="5889" max="5889" width="7.140625" style="68" customWidth="1"/>
    <col min="5890" max="5890" width="13.28515625" style="68" customWidth="1"/>
    <col min="5891" max="5891" width="15.28515625" style="68" customWidth="1"/>
    <col min="5892" max="5892" width="3.28515625" style="68" customWidth="1"/>
    <col min="5893" max="5893" width="13.7109375" style="68" customWidth="1"/>
    <col min="5894" max="5894" width="10.7109375" style="68" customWidth="1"/>
    <col min="5895" max="5895" width="6.28515625" style="68" customWidth="1"/>
    <col min="5896" max="5896" width="17.85546875" style="68" customWidth="1"/>
    <col min="5897" max="5897" width="11.140625" style="68" customWidth="1"/>
    <col min="5898" max="5899" width="10.7109375" style="68" customWidth="1"/>
    <col min="5900" max="6144" width="10.7109375" style="68"/>
    <col min="6145" max="6145" width="7.140625" style="68" customWidth="1"/>
    <col min="6146" max="6146" width="13.28515625" style="68" customWidth="1"/>
    <col min="6147" max="6147" width="15.28515625" style="68" customWidth="1"/>
    <col min="6148" max="6148" width="3.28515625" style="68" customWidth="1"/>
    <col min="6149" max="6149" width="13.7109375" style="68" customWidth="1"/>
    <col min="6150" max="6150" width="10.7109375" style="68" customWidth="1"/>
    <col min="6151" max="6151" width="6.28515625" style="68" customWidth="1"/>
    <col min="6152" max="6152" width="17.85546875" style="68" customWidth="1"/>
    <col min="6153" max="6153" width="11.140625" style="68" customWidth="1"/>
    <col min="6154" max="6155" width="10.7109375" style="68" customWidth="1"/>
    <col min="6156" max="6400" width="10.7109375" style="68"/>
    <col min="6401" max="6401" width="7.140625" style="68" customWidth="1"/>
    <col min="6402" max="6402" width="13.28515625" style="68" customWidth="1"/>
    <col min="6403" max="6403" width="15.28515625" style="68" customWidth="1"/>
    <col min="6404" max="6404" width="3.28515625" style="68" customWidth="1"/>
    <col min="6405" max="6405" width="13.7109375" style="68" customWidth="1"/>
    <col min="6406" max="6406" width="10.7109375" style="68" customWidth="1"/>
    <col min="6407" max="6407" width="6.28515625" style="68" customWidth="1"/>
    <col min="6408" max="6408" width="17.85546875" style="68" customWidth="1"/>
    <col min="6409" max="6409" width="11.140625" style="68" customWidth="1"/>
    <col min="6410" max="6411" width="10.7109375" style="68" customWidth="1"/>
    <col min="6412" max="6656" width="10.7109375" style="68"/>
    <col min="6657" max="6657" width="7.140625" style="68" customWidth="1"/>
    <col min="6658" max="6658" width="13.28515625" style="68" customWidth="1"/>
    <col min="6659" max="6659" width="15.28515625" style="68" customWidth="1"/>
    <col min="6660" max="6660" width="3.28515625" style="68" customWidth="1"/>
    <col min="6661" max="6661" width="13.7109375" style="68" customWidth="1"/>
    <col min="6662" max="6662" width="10.7109375" style="68" customWidth="1"/>
    <col min="6663" max="6663" width="6.28515625" style="68" customWidth="1"/>
    <col min="6664" max="6664" width="17.85546875" style="68" customWidth="1"/>
    <col min="6665" max="6665" width="11.140625" style="68" customWidth="1"/>
    <col min="6666" max="6667" width="10.7109375" style="68" customWidth="1"/>
    <col min="6668" max="6912" width="10.7109375" style="68"/>
    <col min="6913" max="6913" width="7.140625" style="68" customWidth="1"/>
    <col min="6914" max="6914" width="13.28515625" style="68" customWidth="1"/>
    <col min="6915" max="6915" width="15.28515625" style="68" customWidth="1"/>
    <col min="6916" max="6916" width="3.28515625" style="68" customWidth="1"/>
    <col min="6917" max="6917" width="13.7109375" style="68" customWidth="1"/>
    <col min="6918" max="6918" width="10.7109375" style="68" customWidth="1"/>
    <col min="6919" max="6919" width="6.28515625" style="68" customWidth="1"/>
    <col min="6920" max="6920" width="17.85546875" style="68" customWidth="1"/>
    <col min="6921" max="6921" width="11.140625" style="68" customWidth="1"/>
    <col min="6922" max="6923" width="10.7109375" style="68" customWidth="1"/>
    <col min="6924" max="7168" width="10.7109375" style="68"/>
    <col min="7169" max="7169" width="7.140625" style="68" customWidth="1"/>
    <col min="7170" max="7170" width="13.28515625" style="68" customWidth="1"/>
    <col min="7171" max="7171" width="15.28515625" style="68" customWidth="1"/>
    <col min="7172" max="7172" width="3.28515625" style="68" customWidth="1"/>
    <col min="7173" max="7173" width="13.7109375" style="68" customWidth="1"/>
    <col min="7174" max="7174" width="10.7109375" style="68" customWidth="1"/>
    <col min="7175" max="7175" width="6.28515625" style="68" customWidth="1"/>
    <col min="7176" max="7176" width="17.85546875" style="68" customWidth="1"/>
    <col min="7177" max="7177" width="11.140625" style="68" customWidth="1"/>
    <col min="7178" max="7179" width="10.7109375" style="68" customWidth="1"/>
    <col min="7180" max="7424" width="10.7109375" style="68"/>
    <col min="7425" max="7425" width="7.140625" style="68" customWidth="1"/>
    <col min="7426" max="7426" width="13.28515625" style="68" customWidth="1"/>
    <col min="7427" max="7427" width="15.28515625" style="68" customWidth="1"/>
    <col min="7428" max="7428" width="3.28515625" style="68" customWidth="1"/>
    <col min="7429" max="7429" width="13.7109375" style="68" customWidth="1"/>
    <col min="7430" max="7430" width="10.7109375" style="68" customWidth="1"/>
    <col min="7431" max="7431" width="6.28515625" style="68" customWidth="1"/>
    <col min="7432" max="7432" width="17.85546875" style="68" customWidth="1"/>
    <col min="7433" max="7433" width="11.140625" style="68" customWidth="1"/>
    <col min="7434" max="7435" width="10.7109375" style="68" customWidth="1"/>
    <col min="7436" max="7680" width="10.7109375" style="68"/>
    <col min="7681" max="7681" width="7.140625" style="68" customWidth="1"/>
    <col min="7682" max="7682" width="13.28515625" style="68" customWidth="1"/>
    <col min="7683" max="7683" width="15.28515625" style="68" customWidth="1"/>
    <col min="7684" max="7684" width="3.28515625" style="68" customWidth="1"/>
    <col min="7685" max="7685" width="13.7109375" style="68" customWidth="1"/>
    <col min="7686" max="7686" width="10.7109375" style="68" customWidth="1"/>
    <col min="7687" max="7687" width="6.28515625" style="68" customWidth="1"/>
    <col min="7688" max="7688" width="17.85546875" style="68" customWidth="1"/>
    <col min="7689" max="7689" width="11.140625" style="68" customWidth="1"/>
    <col min="7690" max="7691" width="10.7109375" style="68" customWidth="1"/>
    <col min="7692" max="7936" width="10.7109375" style="68"/>
    <col min="7937" max="7937" width="7.140625" style="68" customWidth="1"/>
    <col min="7938" max="7938" width="13.28515625" style="68" customWidth="1"/>
    <col min="7939" max="7939" width="15.28515625" style="68" customWidth="1"/>
    <col min="7940" max="7940" width="3.28515625" style="68" customWidth="1"/>
    <col min="7941" max="7941" width="13.7109375" style="68" customWidth="1"/>
    <col min="7942" max="7942" width="10.7109375" style="68" customWidth="1"/>
    <col min="7943" max="7943" width="6.28515625" style="68" customWidth="1"/>
    <col min="7944" max="7944" width="17.85546875" style="68" customWidth="1"/>
    <col min="7945" max="7945" width="11.140625" style="68" customWidth="1"/>
    <col min="7946" max="7947" width="10.7109375" style="68" customWidth="1"/>
    <col min="7948" max="8192" width="10.7109375" style="68"/>
    <col min="8193" max="8193" width="7.140625" style="68" customWidth="1"/>
    <col min="8194" max="8194" width="13.28515625" style="68" customWidth="1"/>
    <col min="8195" max="8195" width="15.28515625" style="68" customWidth="1"/>
    <col min="8196" max="8196" width="3.28515625" style="68" customWidth="1"/>
    <col min="8197" max="8197" width="13.7109375" style="68" customWidth="1"/>
    <col min="8198" max="8198" width="10.7109375" style="68" customWidth="1"/>
    <col min="8199" max="8199" width="6.28515625" style="68" customWidth="1"/>
    <col min="8200" max="8200" width="17.85546875" style="68" customWidth="1"/>
    <col min="8201" max="8201" width="11.140625" style="68" customWidth="1"/>
    <col min="8202" max="8203" width="10.7109375" style="68" customWidth="1"/>
    <col min="8204" max="8448" width="10.7109375" style="68"/>
    <col min="8449" max="8449" width="7.140625" style="68" customWidth="1"/>
    <col min="8450" max="8450" width="13.28515625" style="68" customWidth="1"/>
    <col min="8451" max="8451" width="15.28515625" style="68" customWidth="1"/>
    <col min="8452" max="8452" width="3.28515625" style="68" customWidth="1"/>
    <col min="8453" max="8453" width="13.7109375" style="68" customWidth="1"/>
    <col min="8454" max="8454" width="10.7109375" style="68" customWidth="1"/>
    <col min="8455" max="8455" width="6.28515625" style="68" customWidth="1"/>
    <col min="8456" max="8456" width="17.85546875" style="68" customWidth="1"/>
    <col min="8457" max="8457" width="11.140625" style="68" customWidth="1"/>
    <col min="8458" max="8459" width="10.7109375" style="68" customWidth="1"/>
    <col min="8460" max="8704" width="10.7109375" style="68"/>
    <col min="8705" max="8705" width="7.140625" style="68" customWidth="1"/>
    <col min="8706" max="8706" width="13.28515625" style="68" customWidth="1"/>
    <col min="8707" max="8707" width="15.28515625" style="68" customWidth="1"/>
    <col min="8708" max="8708" width="3.28515625" style="68" customWidth="1"/>
    <col min="8709" max="8709" width="13.7109375" style="68" customWidth="1"/>
    <col min="8710" max="8710" width="10.7109375" style="68" customWidth="1"/>
    <col min="8711" max="8711" width="6.28515625" style="68" customWidth="1"/>
    <col min="8712" max="8712" width="17.85546875" style="68" customWidth="1"/>
    <col min="8713" max="8713" width="11.140625" style="68" customWidth="1"/>
    <col min="8714" max="8715" width="10.7109375" style="68" customWidth="1"/>
    <col min="8716" max="8960" width="10.7109375" style="68"/>
    <col min="8961" max="8961" width="7.140625" style="68" customWidth="1"/>
    <col min="8962" max="8962" width="13.28515625" style="68" customWidth="1"/>
    <col min="8963" max="8963" width="15.28515625" style="68" customWidth="1"/>
    <col min="8964" max="8964" width="3.28515625" style="68" customWidth="1"/>
    <col min="8965" max="8965" width="13.7109375" style="68" customWidth="1"/>
    <col min="8966" max="8966" width="10.7109375" style="68" customWidth="1"/>
    <col min="8967" max="8967" width="6.28515625" style="68" customWidth="1"/>
    <col min="8968" max="8968" width="17.85546875" style="68" customWidth="1"/>
    <col min="8969" max="8969" width="11.140625" style="68" customWidth="1"/>
    <col min="8970" max="8971" width="10.7109375" style="68" customWidth="1"/>
    <col min="8972" max="9216" width="10.7109375" style="68"/>
    <col min="9217" max="9217" width="7.140625" style="68" customWidth="1"/>
    <col min="9218" max="9218" width="13.28515625" style="68" customWidth="1"/>
    <col min="9219" max="9219" width="15.28515625" style="68" customWidth="1"/>
    <col min="9220" max="9220" width="3.28515625" style="68" customWidth="1"/>
    <col min="9221" max="9221" width="13.7109375" style="68" customWidth="1"/>
    <col min="9222" max="9222" width="10.7109375" style="68" customWidth="1"/>
    <col min="9223" max="9223" width="6.28515625" style="68" customWidth="1"/>
    <col min="9224" max="9224" width="17.85546875" style="68" customWidth="1"/>
    <col min="9225" max="9225" width="11.140625" style="68" customWidth="1"/>
    <col min="9226" max="9227" width="10.7109375" style="68" customWidth="1"/>
    <col min="9228" max="9472" width="10.7109375" style="68"/>
    <col min="9473" max="9473" width="7.140625" style="68" customWidth="1"/>
    <col min="9474" max="9474" width="13.28515625" style="68" customWidth="1"/>
    <col min="9475" max="9475" width="15.28515625" style="68" customWidth="1"/>
    <col min="9476" max="9476" width="3.28515625" style="68" customWidth="1"/>
    <col min="9477" max="9477" width="13.7109375" style="68" customWidth="1"/>
    <col min="9478" max="9478" width="10.7109375" style="68" customWidth="1"/>
    <col min="9479" max="9479" width="6.28515625" style="68" customWidth="1"/>
    <col min="9480" max="9480" width="17.85546875" style="68" customWidth="1"/>
    <col min="9481" max="9481" width="11.140625" style="68" customWidth="1"/>
    <col min="9482" max="9483" width="10.7109375" style="68" customWidth="1"/>
    <col min="9484" max="9728" width="10.7109375" style="68"/>
    <col min="9729" max="9729" width="7.140625" style="68" customWidth="1"/>
    <col min="9730" max="9730" width="13.28515625" style="68" customWidth="1"/>
    <col min="9731" max="9731" width="15.28515625" style="68" customWidth="1"/>
    <col min="9732" max="9732" width="3.28515625" style="68" customWidth="1"/>
    <col min="9733" max="9733" width="13.7109375" style="68" customWidth="1"/>
    <col min="9734" max="9734" width="10.7109375" style="68" customWidth="1"/>
    <col min="9735" max="9735" width="6.28515625" style="68" customWidth="1"/>
    <col min="9736" max="9736" width="17.85546875" style="68" customWidth="1"/>
    <col min="9737" max="9737" width="11.140625" style="68" customWidth="1"/>
    <col min="9738" max="9739" width="10.7109375" style="68" customWidth="1"/>
    <col min="9740" max="9984" width="10.7109375" style="68"/>
    <col min="9985" max="9985" width="7.140625" style="68" customWidth="1"/>
    <col min="9986" max="9986" width="13.28515625" style="68" customWidth="1"/>
    <col min="9987" max="9987" width="15.28515625" style="68" customWidth="1"/>
    <col min="9988" max="9988" width="3.28515625" style="68" customWidth="1"/>
    <col min="9989" max="9989" width="13.7109375" style="68" customWidth="1"/>
    <col min="9990" max="9990" width="10.7109375" style="68" customWidth="1"/>
    <col min="9991" max="9991" width="6.28515625" style="68" customWidth="1"/>
    <col min="9992" max="9992" width="17.85546875" style="68" customWidth="1"/>
    <col min="9993" max="9993" width="11.140625" style="68" customWidth="1"/>
    <col min="9994" max="9995" width="10.7109375" style="68" customWidth="1"/>
    <col min="9996" max="10240" width="10.7109375" style="68"/>
    <col min="10241" max="10241" width="7.140625" style="68" customWidth="1"/>
    <col min="10242" max="10242" width="13.28515625" style="68" customWidth="1"/>
    <col min="10243" max="10243" width="15.28515625" style="68" customWidth="1"/>
    <col min="10244" max="10244" width="3.28515625" style="68" customWidth="1"/>
    <col min="10245" max="10245" width="13.7109375" style="68" customWidth="1"/>
    <col min="10246" max="10246" width="10.7109375" style="68" customWidth="1"/>
    <col min="10247" max="10247" width="6.28515625" style="68" customWidth="1"/>
    <col min="10248" max="10248" width="17.85546875" style="68" customWidth="1"/>
    <col min="10249" max="10249" width="11.140625" style="68" customWidth="1"/>
    <col min="10250" max="10251" width="10.7109375" style="68" customWidth="1"/>
    <col min="10252" max="10496" width="10.7109375" style="68"/>
    <col min="10497" max="10497" width="7.140625" style="68" customWidth="1"/>
    <col min="10498" max="10498" width="13.28515625" style="68" customWidth="1"/>
    <col min="10499" max="10499" width="15.28515625" style="68" customWidth="1"/>
    <col min="10500" max="10500" width="3.28515625" style="68" customWidth="1"/>
    <col min="10501" max="10501" width="13.7109375" style="68" customWidth="1"/>
    <col min="10502" max="10502" width="10.7109375" style="68" customWidth="1"/>
    <col min="10503" max="10503" width="6.28515625" style="68" customWidth="1"/>
    <col min="10504" max="10504" width="17.85546875" style="68" customWidth="1"/>
    <col min="10505" max="10505" width="11.140625" style="68" customWidth="1"/>
    <col min="10506" max="10507" width="10.7109375" style="68" customWidth="1"/>
    <col min="10508" max="10752" width="10.7109375" style="68"/>
    <col min="10753" max="10753" width="7.140625" style="68" customWidth="1"/>
    <col min="10754" max="10754" width="13.28515625" style="68" customWidth="1"/>
    <col min="10755" max="10755" width="15.28515625" style="68" customWidth="1"/>
    <col min="10756" max="10756" width="3.28515625" style="68" customWidth="1"/>
    <col min="10757" max="10757" width="13.7109375" style="68" customWidth="1"/>
    <col min="10758" max="10758" width="10.7109375" style="68" customWidth="1"/>
    <col min="10759" max="10759" width="6.28515625" style="68" customWidth="1"/>
    <col min="10760" max="10760" width="17.85546875" style="68" customWidth="1"/>
    <col min="10761" max="10761" width="11.140625" style="68" customWidth="1"/>
    <col min="10762" max="10763" width="10.7109375" style="68" customWidth="1"/>
    <col min="10764" max="11008" width="10.7109375" style="68"/>
    <col min="11009" max="11009" width="7.140625" style="68" customWidth="1"/>
    <col min="11010" max="11010" width="13.28515625" style="68" customWidth="1"/>
    <col min="11011" max="11011" width="15.28515625" style="68" customWidth="1"/>
    <col min="11012" max="11012" width="3.28515625" style="68" customWidth="1"/>
    <col min="11013" max="11013" width="13.7109375" style="68" customWidth="1"/>
    <col min="11014" max="11014" width="10.7109375" style="68" customWidth="1"/>
    <col min="11015" max="11015" width="6.28515625" style="68" customWidth="1"/>
    <col min="11016" max="11016" width="17.85546875" style="68" customWidth="1"/>
    <col min="11017" max="11017" width="11.140625" style="68" customWidth="1"/>
    <col min="11018" max="11019" width="10.7109375" style="68" customWidth="1"/>
    <col min="11020" max="11264" width="10.7109375" style="68"/>
    <col min="11265" max="11265" width="7.140625" style="68" customWidth="1"/>
    <col min="11266" max="11266" width="13.28515625" style="68" customWidth="1"/>
    <col min="11267" max="11267" width="15.28515625" style="68" customWidth="1"/>
    <col min="11268" max="11268" width="3.28515625" style="68" customWidth="1"/>
    <col min="11269" max="11269" width="13.7109375" style="68" customWidth="1"/>
    <col min="11270" max="11270" width="10.7109375" style="68" customWidth="1"/>
    <col min="11271" max="11271" width="6.28515625" style="68" customWidth="1"/>
    <col min="11272" max="11272" width="17.85546875" style="68" customWidth="1"/>
    <col min="11273" max="11273" width="11.140625" style="68" customWidth="1"/>
    <col min="11274" max="11275" width="10.7109375" style="68" customWidth="1"/>
    <col min="11276" max="11520" width="10.7109375" style="68"/>
    <col min="11521" max="11521" width="7.140625" style="68" customWidth="1"/>
    <col min="11522" max="11522" width="13.28515625" style="68" customWidth="1"/>
    <col min="11523" max="11523" width="15.28515625" style="68" customWidth="1"/>
    <col min="11524" max="11524" width="3.28515625" style="68" customWidth="1"/>
    <col min="11525" max="11525" width="13.7109375" style="68" customWidth="1"/>
    <col min="11526" max="11526" width="10.7109375" style="68" customWidth="1"/>
    <col min="11527" max="11527" width="6.28515625" style="68" customWidth="1"/>
    <col min="11528" max="11528" width="17.85546875" style="68" customWidth="1"/>
    <col min="11529" max="11529" width="11.140625" style="68" customWidth="1"/>
    <col min="11530" max="11531" width="10.7109375" style="68" customWidth="1"/>
    <col min="11532" max="11776" width="10.7109375" style="68"/>
    <col min="11777" max="11777" width="7.140625" style="68" customWidth="1"/>
    <col min="11778" max="11778" width="13.28515625" style="68" customWidth="1"/>
    <col min="11779" max="11779" width="15.28515625" style="68" customWidth="1"/>
    <col min="11780" max="11780" width="3.28515625" style="68" customWidth="1"/>
    <col min="11781" max="11781" width="13.7109375" style="68" customWidth="1"/>
    <col min="11782" max="11782" width="10.7109375" style="68" customWidth="1"/>
    <col min="11783" max="11783" width="6.28515625" style="68" customWidth="1"/>
    <col min="11784" max="11784" width="17.85546875" style="68" customWidth="1"/>
    <col min="11785" max="11785" width="11.140625" style="68" customWidth="1"/>
    <col min="11786" max="11787" width="10.7109375" style="68" customWidth="1"/>
    <col min="11788" max="12032" width="10.7109375" style="68"/>
    <col min="12033" max="12033" width="7.140625" style="68" customWidth="1"/>
    <col min="12034" max="12034" width="13.28515625" style="68" customWidth="1"/>
    <col min="12035" max="12035" width="15.28515625" style="68" customWidth="1"/>
    <col min="12036" max="12036" width="3.28515625" style="68" customWidth="1"/>
    <col min="12037" max="12037" width="13.7109375" style="68" customWidth="1"/>
    <col min="12038" max="12038" width="10.7109375" style="68" customWidth="1"/>
    <col min="12039" max="12039" width="6.28515625" style="68" customWidth="1"/>
    <col min="12040" max="12040" width="17.85546875" style="68" customWidth="1"/>
    <col min="12041" max="12041" width="11.140625" style="68" customWidth="1"/>
    <col min="12042" max="12043" width="10.7109375" style="68" customWidth="1"/>
    <col min="12044" max="12288" width="10.7109375" style="68"/>
    <col min="12289" max="12289" width="7.140625" style="68" customWidth="1"/>
    <col min="12290" max="12290" width="13.28515625" style="68" customWidth="1"/>
    <col min="12291" max="12291" width="15.28515625" style="68" customWidth="1"/>
    <col min="12292" max="12292" width="3.28515625" style="68" customWidth="1"/>
    <col min="12293" max="12293" width="13.7109375" style="68" customWidth="1"/>
    <col min="12294" max="12294" width="10.7109375" style="68" customWidth="1"/>
    <col min="12295" max="12295" width="6.28515625" style="68" customWidth="1"/>
    <col min="12296" max="12296" width="17.85546875" style="68" customWidth="1"/>
    <col min="12297" max="12297" width="11.140625" style="68" customWidth="1"/>
    <col min="12298" max="12299" width="10.7109375" style="68" customWidth="1"/>
    <col min="12300" max="12544" width="10.7109375" style="68"/>
    <col min="12545" max="12545" width="7.140625" style="68" customWidth="1"/>
    <col min="12546" max="12546" width="13.28515625" style="68" customWidth="1"/>
    <col min="12547" max="12547" width="15.28515625" style="68" customWidth="1"/>
    <col min="12548" max="12548" width="3.28515625" style="68" customWidth="1"/>
    <col min="12549" max="12549" width="13.7109375" style="68" customWidth="1"/>
    <col min="12550" max="12550" width="10.7109375" style="68" customWidth="1"/>
    <col min="12551" max="12551" width="6.28515625" style="68" customWidth="1"/>
    <col min="12552" max="12552" width="17.85546875" style="68" customWidth="1"/>
    <col min="12553" max="12553" width="11.140625" style="68" customWidth="1"/>
    <col min="12554" max="12555" width="10.7109375" style="68" customWidth="1"/>
    <col min="12556" max="12800" width="10.7109375" style="68"/>
    <col min="12801" max="12801" width="7.140625" style="68" customWidth="1"/>
    <col min="12802" max="12802" width="13.28515625" style="68" customWidth="1"/>
    <col min="12803" max="12803" width="15.28515625" style="68" customWidth="1"/>
    <col min="12804" max="12804" width="3.28515625" style="68" customWidth="1"/>
    <col min="12805" max="12805" width="13.7109375" style="68" customWidth="1"/>
    <col min="12806" max="12806" width="10.7109375" style="68" customWidth="1"/>
    <col min="12807" max="12807" width="6.28515625" style="68" customWidth="1"/>
    <col min="12808" max="12808" width="17.85546875" style="68" customWidth="1"/>
    <col min="12809" max="12809" width="11.140625" style="68" customWidth="1"/>
    <col min="12810" max="12811" width="10.7109375" style="68" customWidth="1"/>
    <col min="12812" max="13056" width="10.7109375" style="68"/>
    <col min="13057" max="13057" width="7.140625" style="68" customWidth="1"/>
    <col min="13058" max="13058" width="13.28515625" style="68" customWidth="1"/>
    <col min="13059" max="13059" width="15.28515625" style="68" customWidth="1"/>
    <col min="13060" max="13060" width="3.28515625" style="68" customWidth="1"/>
    <col min="13061" max="13061" width="13.7109375" style="68" customWidth="1"/>
    <col min="13062" max="13062" width="10.7109375" style="68" customWidth="1"/>
    <col min="13063" max="13063" width="6.28515625" style="68" customWidth="1"/>
    <col min="13064" max="13064" width="17.85546875" style="68" customWidth="1"/>
    <col min="13065" max="13065" width="11.140625" style="68" customWidth="1"/>
    <col min="13066" max="13067" width="10.7109375" style="68" customWidth="1"/>
    <col min="13068" max="13312" width="10.7109375" style="68"/>
    <col min="13313" max="13313" width="7.140625" style="68" customWidth="1"/>
    <col min="13314" max="13314" width="13.28515625" style="68" customWidth="1"/>
    <col min="13315" max="13315" width="15.28515625" style="68" customWidth="1"/>
    <col min="13316" max="13316" width="3.28515625" style="68" customWidth="1"/>
    <col min="13317" max="13317" width="13.7109375" style="68" customWidth="1"/>
    <col min="13318" max="13318" width="10.7109375" style="68" customWidth="1"/>
    <col min="13319" max="13319" width="6.28515625" style="68" customWidth="1"/>
    <col min="13320" max="13320" width="17.85546875" style="68" customWidth="1"/>
    <col min="13321" max="13321" width="11.140625" style="68" customWidth="1"/>
    <col min="13322" max="13323" width="10.7109375" style="68" customWidth="1"/>
    <col min="13324" max="13568" width="10.7109375" style="68"/>
    <col min="13569" max="13569" width="7.140625" style="68" customWidth="1"/>
    <col min="13570" max="13570" width="13.28515625" style="68" customWidth="1"/>
    <col min="13571" max="13571" width="15.28515625" style="68" customWidth="1"/>
    <col min="13572" max="13572" width="3.28515625" style="68" customWidth="1"/>
    <col min="13573" max="13573" width="13.7109375" style="68" customWidth="1"/>
    <col min="13574" max="13574" width="10.7109375" style="68" customWidth="1"/>
    <col min="13575" max="13575" width="6.28515625" style="68" customWidth="1"/>
    <col min="13576" max="13576" width="17.85546875" style="68" customWidth="1"/>
    <col min="13577" max="13577" width="11.140625" style="68" customWidth="1"/>
    <col min="13578" max="13579" width="10.7109375" style="68" customWidth="1"/>
    <col min="13580" max="13824" width="10.7109375" style="68"/>
    <col min="13825" max="13825" width="7.140625" style="68" customWidth="1"/>
    <col min="13826" max="13826" width="13.28515625" style="68" customWidth="1"/>
    <col min="13827" max="13827" width="15.28515625" style="68" customWidth="1"/>
    <col min="13828" max="13828" width="3.28515625" style="68" customWidth="1"/>
    <col min="13829" max="13829" width="13.7109375" style="68" customWidth="1"/>
    <col min="13830" max="13830" width="10.7109375" style="68" customWidth="1"/>
    <col min="13831" max="13831" width="6.28515625" style="68" customWidth="1"/>
    <col min="13832" max="13832" width="17.85546875" style="68" customWidth="1"/>
    <col min="13833" max="13833" width="11.140625" style="68" customWidth="1"/>
    <col min="13834" max="13835" width="10.7109375" style="68" customWidth="1"/>
    <col min="13836" max="14080" width="10.7109375" style="68"/>
    <col min="14081" max="14081" width="7.140625" style="68" customWidth="1"/>
    <col min="14082" max="14082" width="13.28515625" style="68" customWidth="1"/>
    <col min="14083" max="14083" width="15.28515625" style="68" customWidth="1"/>
    <col min="14084" max="14084" width="3.28515625" style="68" customWidth="1"/>
    <col min="14085" max="14085" width="13.7109375" style="68" customWidth="1"/>
    <col min="14086" max="14086" width="10.7109375" style="68" customWidth="1"/>
    <col min="14087" max="14087" width="6.28515625" style="68" customWidth="1"/>
    <col min="14088" max="14088" width="17.85546875" style="68" customWidth="1"/>
    <col min="14089" max="14089" width="11.140625" style="68" customWidth="1"/>
    <col min="14090" max="14091" width="10.7109375" style="68" customWidth="1"/>
    <col min="14092" max="14336" width="10.7109375" style="68"/>
    <col min="14337" max="14337" width="7.140625" style="68" customWidth="1"/>
    <col min="14338" max="14338" width="13.28515625" style="68" customWidth="1"/>
    <col min="14339" max="14339" width="15.28515625" style="68" customWidth="1"/>
    <col min="14340" max="14340" width="3.28515625" style="68" customWidth="1"/>
    <col min="14341" max="14341" width="13.7109375" style="68" customWidth="1"/>
    <col min="14342" max="14342" width="10.7109375" style="68" customWidth="1"/>
    <col min="14343" max="14343" width="6.28515625" style="68" customWidth="1"/>
    <col min="14344" max="14344" width="17.85546875" style="68" customWidth="1"/>
    <col min="14345" max="14345" width="11.140625" style="68" customWidth="1"/>
    <col min="14346" max="14347" width="10.7109375" style="68" customWidth="1"/>
    <col min="14348" max="14592" width="10.7109375" style="68"/>
    <col min="14593" max="14593" width="7.140625" style="68" customWidth="1"/>
    <col min="14594" max="14594" width="13.28515625" style="68" customWidth="1"/>
    <col min="14595" max="14595" width="15.28515625" style="68" customWidth="1"/>
    <col min="14596" max="14596" width="3.28515625" style="68" customWidth="1"/>
    <col min="14597" max="14597" width="13.7109375" style="68" customWidth="1"/>
    <col min="14598" max="14598" width="10.7109375" style="68" customWidth="1"/>
    <col min="14599" max="14599" width="6.28515625" style="68" customWidth="1"/>
    <col min="14600" max="14600" width="17.85546875" style="68" customWidth="1"/>
    <col min="14601" max="14601" width="11.140625" style="68" customWidth="1"/>
    <col min="14602" max="14603" width="10.7109375" style="68" customWidth="1"/>
    <col min="14604" max="14848" width="10.7109375" style="68"/>
    <col min="14849" max="14849" width="7.140625" style="68" customWidth="1"/>
    <col min="14850" max="14850" width="13.28515625" style="68" customWidth="1"/>
    <col min="14851" max="14851" width="15.28515625" style="68" customWidth="1"/>
    <col min="14852" max="14852" width="3.28515625" style="68" customWidth="1"/>
    <col min="14853" max="14853" width="13.7109375" style="68" customWidth="1"/>
    <col min="14854" max="14854" width="10.7109375" style="68" customWidth="1"/>
    <col min="14855" max="14855" width="6.28515625" style="68" customWidth="1"/>
    <col min="14856" max="14856" width="17.85546875" style="68" customWidth="1"/>
    <col min="14857" max="14857" width="11.140625" style="68" customWidth="1"/>
    <col min="14858" max="14859" width="10.7109375" style="68" customWidth="1"/>
    <col min="14860" max="15104" width="10.7109375" style="68"/>
    <col min="15105" max="15105" width="7.140625" style="68" customWidth="1"/>
    <col min="15106" max="15106" width="13.28515625" style="68" customWidth="1"/>
    <col min="15107" max="15107" width="15.28515625" style="68" customWidth="1"/>
    <col min="15108" max="15108" width="3.28515625" style="68" customWidth="1"/>
    <col min="15109" max="15109" width="13.7109375" style="68" customWidth="1"/>
    <col min="15110" max="15110" width="10.7109375" style="68" customWidth="1"/>
    <col min="15111" max="15111" width="6.28515625" style="68" customWidth="1"/>
    <col min="15112" max="15112" width="17.85546875" style="68" customWidth="1"/>
    <col min="15113" max="15113" width="11.140625" style="68" customWidth="1"/>
    <col min="15114" max="15115" width="10.7109375" style="68" customWidth="1"/>
    <col min="15116" max="15360" width="10.7109375" style="68"/>
    <col min="15361" max="15361" width="7.140625" style="68" customWidth="1"/>
    <col min="15362" max="15362" width="13.28515625" style="68" customWidth="1"/>
    <col min="15363" max="15363" width="15.28515625" style="68" customWidth="1"/>
    <col min="15364" max="15364" width="3.28515625" style="68" customWidth="1"/>
    <col min="15365" max="15365" width="13.7109375" style="68" customWidth="1"/>
    <col min="15366" max="15366" width="10.7109375" style="68" customWidth="1"/>
    <col min="15367" max="15367" width="6.28515625" style="68" customWidth="1"/>
    <col min="15368" max="15368" width="17.85546875" style="68" customWidth="1"/>
    <col min="15369" max="15369" width="11.140625" style="68" customWidth="1"/>
    <col min="15370" max="15371" width="10.7109375" style="68" customWidth="1"/>
    <col min="15372" max="15616" width="10.7109375" style="68"/>
    <col min="15617" max="15617" width="7.140625" style="68" customWidth="1"/>
    <col min="15618" max="15618" width="13.28515625" style="68" customWidth="1"/>
    <col min="15619" max="15619" width="15.28515625" style="68" customWidth="1"/>
    <col min="15620" max="15620" width="3.28515625" style="68" customWidth="1"/>
    <col min="15621" max="15621" width="13.7109375" style="68" customWidth="1"/>
    <col min="15622" max="15622" width="10.7109375" style="68" customWidth="1"/>
    <col min="15623" max="15623" width="6.28515625" style="68" customWidth="1"/>
    <col min="15624" max="15624" width="17.85546875" style="68" customWidth="1"/>
    <col min="15625" max="15625" width="11.140625" style="68" customWidth="1"/>
    <col min="15626" max="15627" width="10.7109375" style="68" customWidth="1"/>
    <col min="15628" max="15872" width="10.7109375" style="68"/>
    <col min="15873" max="15873" width="7.140625" style="68" customWidth="1"/>
    <col min="15874" max="15874" width="13.28515625" style="68" customWidth="1"/>
    <col min="15875" max="15875" width="15.28515625" style="68" customWidth="1"/>
    <col min="15876" max="15876" width="3.28515625" style="68" customWidth="1"/>
    <col min="15877" max="15877" width="13.7109375" style="68" customWidth="1"/>
    <col min="15878" max="15878" width="10.7109375" style="68" customWidth="1"/>
    <col min="15879" max="15879" width="6.28515625" style="68" customWidth="1"/>
    <col min="15880" max="15880" width="17.85546875" style="68" customWidth="1"/>
    <col min="15881" max="15881" width="11.140625" style="68" customWidth="1"/>
    <col min="15882" max="15883" width="10.7109375" style="68" customWidth="1"/>
    <col min="15884" max="16128" width="10.7109375" style="68"/>
    <col min="16129" max="16129" width="7.140625" style="68" customWidth="1"/>
    <col min="16130" max="16130" width="13.28515625" style="68" customWidth="1"/>
    <col min="16131" max="16131" width="15.28515625" style="68" customWidth="1"/>
    <col min="16132" max="16132" width="3.28515625" style="68" customWidth="1"/>
    <col min="16133" max="16133" width="13.7109375" style="68" customWidth="1"/>
    <col min="16134" max="16134" width="10.7109375" style="68" customWidth="1"/>
    <col min="16135" max="16135" width="6.28515625" style="68" customWidth="1"/>
    <col min="16136" max="16136" width="17.85546875" style="68" customWidth="1"/>
    <col min="16137" max="16137" width="11.140625" style="68" customWidth="1"/>
    <col min="16138" max="16139" width="10.7109375" style="68" customWidth="1"/>
    <col min="16140" max="16384" width="10.7109375" style="68"/>
  </cols>
  <sheetData>
    <row r="1" spans="1:194" s="244" customFormat="1" ht="21.75" hidden="1" customHeight="1" outlineLevel="1" x14ac:dyDescent="0.25">
      <c r="A1" s="244" t="s">
        <v>17</v>
      </c>
      <c r="B1" s="51" t="str">
        <f>CONCATENATE(A100,"  ",A102)</f>
        <v xml:space="preserve"> рублей  00 коп.</v>
      </c>
      <c r="C1" s="51"/>
      <c r="D1" s="51"/>
      <c r="E1" s="51"/>
      <c r="F1" s="51"/>
      <c r="G1" s="51"/>
      <c r="H1" s="51"/>
      <c r="I1" s="51"/>
      <c r="J1" s="52"/>
    </row>
    <row r="2" spans="1:194" s="244" customFormat="1" ht="15.2" hidden="1" customHeight="1" outlineLevel="1" collapsed="1" x14ac:dyDescent="0.25">
      <c r="A2" s="244" t="s">
        <v>85</v>
      </c>
      <c r="C2" s="53"/>
      <c r="E2" s="54" t="s">
        <v>86</v>
      </c>
      <c r="H2" s="55"/>
      <c r="J2" s="52"/>
    </row>
    <row r="3" spans="1:194" s="56" customFormat="1" ht="10.5" hidden="1" customHeight="1" outlineLevel="1" x14ac:dyDescent="0.15">
      <c r="C3" s="57" t="s">
        <v>18</v>
      </c>
      <c r="D3" s="58"/>
      <c r="E3" s="59" t="s">
        <v>19</v>
      </c>
      <c r="H3" s="60"/>
      <c r="J3" s="61"/>
    </row>
    <row r="4" spans="1:194" s="244" customFormat="1" ht="15.2" hidden="1" customHeight="1" outlineLevel="1" x14ac:dyDescent="0.25">
      <c r="A4" s="244" t="s">
        <v>89</v>
      </c>
      <c r="C4" s="53"/>
      <c r="E4" s="54" t="s">
        <v>90</v>
      </c>
      <c r="H4" s="55"/>
      <c r="J4" s="52"/>
    </row>
    <row r="5" spans="1:194" s="63" customFormat="1" ht="24.75" hidden="1" customHeight="1" outlineLevel="1" x14ac:dyDescent="0.2">
      <c r="A5" s="62"/>
      <c r="C5" s="64" t="s">
        <v>18</v>
      </c>
      <c r="D5" s="58"/>
      <c r="E5" s="59" t="s">
        <v>19</v>
      </c>
      <c r="F5" s="56"/>
      <c r="H5" s="60"/>
      <c r="J5" s="65"/>
    </row>
    <row r="6" spans="1:194" s="244" customFormat="1" ht="16.5" customHeight="1" collapsed="1" x14ac:dyDescent="0.3">
      <c r="E6" s="66" t="s">
        <v>20</v>
      </c>
      <c r="F6" s="53"/>
      <c r="I6" s="67" t="s">
        <v>21</v>
      </c>
      <c r="J6" s="52"/>
    </row>
    <row r="7" spans="1:194" ht="18" customHeight="1" x14ac:dyDescent="0.25">
      <c r="B7" s="406" t="s">
        <v>71</v>
      </c>
      <c r="C7" s="406"/>
      <c r="D7" s="406"/>
      <c r="E7" s="406"/>
      <c r="F7" s="406"/>
      <c r="G7" s="406"/>
      <c r="H7" s="71" t="s">
        <v>22</v>
      </c>
      <c r="I7" s="72" t="s">
        <v>23</v>
      </c>
      <c r="J7" s="73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244" customFormat="1" ht="23.25" customHeight="1" x14ac:dyDescent="0.25">
      <c r="B8" s="74" t="s">
        <v>9</v>
      </c>
      <c r="C8" s="408" t="s">
        <v>148</v>
      </c>
      <c r="D8" s="408"/>
      <c r="E8" s="408"/>
      <c r="F8" s="408"/>
      <c r="G8" s="75" t="s">
        <v>118</v>
      </c>
      <c r="H8" s="71" t="s">
        <v>24</v>
      </c>
      <c r="I8" s="159">
        <v>45930</v>
      </c>
      <c r="J8" s="52"/>
    </row>
    <row r="9" spans="1:194" s="81" customFormat="1" ht="26.25" customHeight="1" x14ac:dyDescent="0.25">
      <c r="A9" s="409" t="s">
        <v>25</v>
      </c>
      <c r="B9" s="409"/>
      <c r="C9" s="76" t="s">
        <v>26</v>
      </c>
      <c r="D9" s="77"/>
      <c r="E9" s="78"/>
      <c r="F9" s="78"/>
      <c r="G9" s="78"/>
      <c r="H9" s="71" t="s">
        <v>27</v>
      </c>
      <c r="I9" s="79" t="s">
        <v>28</v>
      </c>
      <c r="J9" s="80"/>
    </row>
    <row r="10" spans="1:194" s="244" customFormat="1" ht="13.5" customHeight="1" x14ac:dyDescent="0.2">
      <c r="A10" s="82" t="s">
        <v>29</v>
      </c>
      <c r="C10" s="410" t="s">
        <v>145</v>
      </c>
      <c r="D10" s="410"/>
      <c r="E10" s="410"/>
      <c r="F10" s="410"/>
      <c r="G10" s="410"/>
      <c r="H10" s="74" t="s">
        <v>30</v>
      </c>
      <c r="I10" s="83"/>
      <c r="J10" s="52"/>
    </row>
    <row r="11" spans="1:194" s="81" customFormat="1" ht="12" customHeight="1" x14ac:dyDescent="0.3">
      <c r="A11" s="84" t="s">
        <v>31</v>
      </c>
      <c r="B11" s="85"/>
      <c r="C11" s="77"/>
      <c r="D11" s="86"/>
      <c r="E11" s="87"/>
      <c r="F11" s="88"/>
      <c r="G11" s="87"/>
      <c r="H11" s="74" t="s">
        <v>32</v>
      </c>
      <c r="I11" s="83"/>
      <c r="J11" s="80"/>
    </row>
    <row r="12" spans="1:194" s="81" customFormat="1" ht="12" customHeight="1" x14ac:dyDescent="0.25">
      <c r="A12" s="84" t="s">
        <v>33</v>
      </c>
      <c r="B12" s="85"/>
      <c r="C12" s="89"/>
      <c r="D12" s="90"/>
      <c r="E12" s="90"/>
      <c r="F12" s="90"/>
      <c r="G12" s="90"/>
      <c r="H12" s="74" t="s">
        <v>34</v>
      </c>
      <c r="I12" s="83"/>
      <c r="J12" s="80"/>
    </row>
    <row r="13" spans="1:194" s="81" customFormat="1" ht="12" customHeight="1" x14ac:dyDescent="0.25">
      <c r="A13" s="91" t="s">
        <v>35</v>
      </c>
      <c r="B13" s="85"/>
      <c r="C13" s="89"/>
      <c r="D13" s="90"/>
      <c r="E13" s="90"/>
      <c r="F13" s="90"/>
      <c r="G13" s="90"/>
      <c r="H13" s="74" t="s">
        <v>36</v>
      </c>
      <c r="I13" s="83"/>
      <c r="J13" s="80"/>
    </row>
    <row r="14" spans="1:194" ht="12" customHeight="1" x14ac:dyDescent="0.2">
      <c r="A14" s="84" t="s">
        <v>37</v>
      </c>
      <c r="H14" s="74" t="s">
        <v>38</v>
      </c>
      <c r="I14" s="79" t="s">
        <v>39</v>
      </c>
      <c r="J14" s="73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ht="12" customHeight="1" x14ac:dyDescent="0.2">
      <c r="A15" s="84" t="s">
        <v>40</v>
      </c>
      <c r="C15" s="92" t="s">
        <v>41</v>
      </c>
      <c r="E15" s="93"/>
      <c r="F15" s="93"/>
      <c r="G15" s="93"/>
      <c r="I15" s="94"/>
    </row>
    <row r="16" spans="1:194" s="98" customFormat="1" ht="28.5" customHeight="1" x14ac:dyDescent="0.2">
      <c r="A16" s="241" t="s">
        <v>1</v>
      </c>
      <c r="B16" s="411" t="s">
        <v>12</v>
      </c>
      <c r="C16" s="411"/>
      <c r="D16" s="411"/>
      <c r="E16" s="411"/>
      <c r="F16" s="218" t="s">
        <v>2</v>
      </c>
      <c r="G16" s="412" t="s">
        <v>42</v>
      </c>
      <c r="H16" s="412"/>
      <c r="I16" s="412"/>
      <c r="J16" s="96"/>
      <c r="K16" s="97"/>
    </row>
    <row r="17" spans="1:11" s="101" customFormat="1" ht="10.5" customHeight="1" x14ac:dyDescent="0.2">
      <c r="A17" s="240">
        <v>1</v>
      </c>
      <c r="B17" s="407">
        <v>2</v>
      </c>
      <c r="C17" s="407"/>
      <c r="D17" s="407"/>
      <c r="E17" s="407"/>
      <c r="F17" s="240">
        <v>3</v>
      </c>
      <c r="G17" s="407">
        <v>4</v>
      </c>
      <c r="H17" s="407"/>
      <c r="I17" s="407"/>
      <c r="J17" s="100"/>
    </row>
    <row r="18" spans="1:11" s="101" customFormat="1" ht="20.25" customHeight="1" x14ac:dyDescent="0.2">
      <c r="A18" s="223">
        <v>1</v>
      </c>
      <c r="B18" s="249"/>
      <c r="C18" s="250"/>
      <c r="D18" s="250"/>
      <c r="E18" s="251"/>
      <c r="F18" s="223"/>
      <c r="G18" s="430"/>
      <c r="H18" s="431"/>
      <c r="I18" s="432"/>
      <c r="J18" s="100"/>
    </row>
    <row r="19" spans="1:11" s="104" customFormat="1" ht="18" customHeight="1" x14ac:dyDescent="0.2">
      <c r="A19" s="223">
        <v>2</v>
      </c>
      <c r="B19" s="249"/>
      <c r="C19" s="250"/>
      <c r="D19" s="250"/>
      <c r="E19" s="251"/>
      <c r="F19" s="223"/>
      <c r="G19" s="430"/>
      <c r="H19" s="431"/>
      <c r="I19" s="432"/>
      <c r="J19" s="103"/>
      <c r="K19" s="103"/>
    </row>
    <row r="20" spans="1:11" s="104" customFormat="1" ht="18" customHeight="1" x14ac:dyDescent="0.2">
      <c r="A20" s="223">
        <v>3</v>
      </c>
      <c r="B20" s="249"/>
      <c r="C20" s="250"/>
      <c r="D20" s="250"/>
      <c r="E20" s="251"/>
      <c r="F20" s="223"/>
      <c r="G20" s="430"/>
      <c r="H20" s="431"/>
      <c r="I20" s="432"/>
      <c r="J20" s="103"/>
      <c r="K20" s="103"/>
    </row>
    <row r="21" spans="1:11" s="104" customFormat="1" ht="15" customHeight="1" x14ac:dyDescent="0.2">
      <c r="A21" s="223">
        <v>4</v>
      </c>
      <c r="B21" s="249"/>
      <c r="C21" s="250"/>
      <c r="D21" s="250"/>
      <c r="E21" s="251"/>
      <c r="F21" s="223"/>
      <c r="G21" s="430"/>
      <c r="H21" s="431"/>
      <c r="I21" s="432"/>
      <c r="J21" s="103"/>
      <c r="K21" s="105"/>
    </row>
    <row r="22" spans="1:11" s="104" customFormat="1" ht="15" customHeight="1" outlineLevel="1" x14ac:dyDescent="0.2">
      <c r="A22" s="223">
        <v>5</v>
      </c>
      <c r="B22" s="249"/>
      <c r="C22" s="250"/>
      <c r="D22" s="250"/>
      <c r="E22" s="251"/>
      <c r="F22" s="223"/>
      <c r="G22" s="430"/>
      <c r="H22" s="431"/>
      <c r="I22" s="432"/>
      <c r="J22" s="103"/>
      <c r="K22" s="105"/>
    </row>
    <row r="23" spans="1:11" s="104" customFormat="1" ht="18.75" customHeight="1" outlineLevel="1" x14ac:dyDescent="0.25">
      <c r="A23" s="223">
        <v>6</v>
      </c>
      <c r="B23" s="249"/>
      <c r="C23" s="250"/>
      <c r="D23" s="250"/>
      <c r="E23" s="251"/>
      <c r="F23" s="223"/>
      <c r="G23" s="405"/>
      <c r="H23" s="405"/>
      <c r="I23" s="405"/>
      <c r="J23" s="103"/>
      <c r="K23" s="105"/>
    </row>
    <row r="24" spans="1:11" s="104" customFormat="1" ht="15" customHeight="1" outlineLevel="1" x14ac:dyDescent="0.25">
      <c r="A24" s="223">
        <v>7</v>
      </c>
      <c r="B24" s="249"/>
      <c r="C24" s="250"/>
      <c r="D24" s="250"/>
      <c r="E24" s="251"/>
      <c r="F24" s="223"/>
      <c r="G24" s="405"/>
      <c r="H24" s="405"/>
      <c r="I24" s="405"/>
      <c r="J24" s="103"/>
      <c r="K24" s="105"/>
    </row>
    <row r="25" spans="1:11" s="104" customFormat="1" ht="15" customHeight="1" outlineLevel="1" x14ac:dyDescent="0.25">
      <c r="A25" s="223">
        <v>8</v>
      </c>
      <c r="B25" s="249"/>
      <c r="C25" s="250"/>
      <c r="D25" s="250"/>
      <c r="E25" s="251"/>
      <c r="F25" s="223"/>
      <c r="G25" s="405"/>
      <c r="H25" s="405"/>
      <c r="I25" s="405"/>
      <c r="J25" s="95"/>
      <c r="K25" s="105"/>
    </row>
    <row r="26" spans="1:11" s="104" customFormat="1" ht="15" customHeight="1" outlineLevel="1" collapsed="1" x14ac:dyDescent="0.25">
      <c r="A26" s="223">
        <v>9</v>
      </c>
      <c r="B26" s="249"/>
      <c r="C26" s="250"/>
      <c r="D26" s="250"/>
      <c r="E26" s="251"/>
      <c r="F26" s="223"/>
      <c r="G26" s="405"/>
      <c r="H26" s="405"/>
      <c r="I26" s="405"/>
      <c r="J26" s="95"/>
      <c r="K26" s="105"/>
    </row>
    <row r="27" spans="1:11" s="104" customFormat="1" ht="15" customHeight="1" outlineLevel="1" collapsed="1" x14ac:dyDescent="0.25">
      <c r="A27" s="223">
        <v>10</v>
      </c>
      <c r="B27" s="443"/>
      <c r="C27" s="444"/>
      <c r="D27" s="444"/>
      <c r="E27" s="445"/>
      <c r="F27" s="223"/>
      <c r="G27" s="405"/>
      <c r="H27" s="405"/>
      <c r="I27" s="405"/>
      <c r="J27" s="103"/>
      <c r="K27" s="105"/>
    </row>
    <row r="28" spans="1:11" s="104" customFormat="1" ht="15" customHeight="1" outlineLevel="1" collapsed="1" x14ac:dyDescent="0.25">
      <c r="A28" s="223">
        <v>11</v>
      </c>
      <c r="B28" s="443"/>
      <c r="C28" s="444"/>
      <c r="D28" s="444"/>
      <c r="E28" s="445"/>
      <c r="F28" s="223"/>
      <c r="G28" s="405"/>
      <c r="H28" s="405"/>
      <c r="I28" s="405"/>
      <c r="J28" s="103"/>
      <c r="K28" s="105"/>
    </row>
    <row r="29" spans="1:11" s="104" customFormat="1" ht="15" customHeight="1" outlineLevel="1" x14ac:dyDescent="0.25">
      <c r="A29" s="223">
        <v>12</v>
      </c>
      <c r="B29" s="443"/>
      <c r="C29" s="444"/>
      <c r="D29" s="444"/>
      <c r="E29" s="445"/>
      <c r="F29" s="223"/>
      <c r="G29" s="405"/>
      <c r="H29" s="405"/>
      <c r="I29" s="405"/>
      <c r="J29" s="103"/>
      <c r="K29" s="105"/>
    </row>
    <row r="30" spans="1:11" s="104" customFormat="1" ht="15" customHeight="1" outlineLevel="1" x14ac:dyDescent="0.25">
      <c r="A30" s="223">
        <v>13</v>
      </c>
      <c r="B30" s="443"/>
      <c r="C30" s="444"/>
      <c r="D30" s="444"/>
      <c r="E30" s="445"/>
      <c r="F30" s="223"/>
      <c r="G30" s="405"/>
      <c r="H30" s="405"/>
      <c r="I30" s="405"/>
      <c r="J30" s="103"/>
      <c r="K30" s="105"/>
    </row>
    <row r="31" spans="1:11" s="104" customFormat="1" ht="15" customHeight="1" outlineLevel="1" x14ac:dyDescent="0.25">
      <c r="A31" s="223">
        <v>14</v>
      </c>
      <c r="B31" s="443"/>
      <c r="C31" s="444"/>
      <c r="D31" s="444"/>
      <c r="E31" s="445"/>
      <c r="F31" s="223"/>
      <c r="G31" s="405"/>
      <c r="H31" s="405"/>
      <c r="I31" s="405"/>
      <c r="J31" s="103"/>
      <c r="K31" s="105"/>
    </row>
    <row r="32" spans="1:11" s="104" customFormat="1" ht="15" customHeight="1" outlineLevel="1" x14ac:dyDescent="0.25">
      <c r="A32" s="223">
        <v>15</v>
      </c>
      <c r="B32" s="443"/>
      <c r="C32" s="444"/>
      <c r="D32" s="444"/>
      <c r="E32" s="445"/>
      <c r="F32" s="223"/>
      <c r="G32" s="405"/>
      <c r="H32" s="405"/>
      <c r="I32" s="405"/>
      <c r="J32" s="103"/>
      <c r="K32" s="105"/>
    </row>
    <row r="33" spans="1:11" s="104" customFormat="1" ht="15" customHeight="1" outlineLevel="1" x14ac:dyDescent="0.25">
      <c r="A33" s="223">
        <v>16</v>
      </c>
      <c r="B33" s="443"/>
      <c r="C33" s="444"/>
      <c r="D33" s="444"/>
      <c r="E33" s="445"/>
      <c r="F33" s="223"/>
      <c r="G33" s="405"/>
      <c r="H33" s="405"/>
      <c r="I33" s="405"/>
      <c r="J33" s="103"/>
      <c r="K33" s="105"/>
    </row>
    <row r="34" spans="1:11" s="104" customFormat="1" ht="15" customHeight="1" outlineLevel="1" x14ac:dyDescent="0.25">
      <c r="A34" s="223">
        <v>17</v>
      </c>
      <c r="B34" s="443"/>
      <c r="C34" s="444"/>
      <c r="D34" s="444"/>
      <c r="E34" s="445"/>
      <c r="F34" s="223"/>
      <c r="G34" s="405"/>
      <c r="H34" s="405"/>
      <c r="I34" s="405"/>
      <c r="J34" s="103"/>
      <c r="K34" s="105"/>
    </row>
    <row r="35" spans="1:11" s="104" customFormat="1" ht="15" customHeight="1" outlineLevel="1" x14ac:dyDescent="0.25">
      <c r="A35" s="223">
        <v>18</v>
      </c>
      <c r="B35" s="443"/>
      <c r="C35" s="444"/>
      <c r="D35" s="444"/>
      <c r="E35" s="445"/>
      <c r="F35" s="223"/>
      <c r="G35" s="405"/>
      <c r="H35" s="405"/>
      <c r="I35" s="405"/>
      <c r="J35" s="95"/>
      <c r="K35" s="105"/>
    </row>
    <row r="36" spans="1:11" s="104" customFormat="1" ht="15" customHeight="1" outlineLevel="1" x14ac:dyDescent="0.25">
      <c r="A36" s="223">
        <v>19</v>
      </c>
      <c r="B36" s="443"/>
      <c r="C36" s="444"/>
      <c r="D36" s="444"/>
      <c r="E36" s="445"/>
      <c r="F36" s="223"/>
      <c r="G36" s="405"/>
      <c r="H36" s="405"/>
      <c r="I36" s="405"/>
      <c r="J36" s="95"/>
      <c r="K36" s="105"/>
    </row>
    <row r="37" spans="1:11" s="104" customFormat="1" ht="15" customHeight="1" outlineLevel="1" x14ac:dyDescent="0.25">
      <c r="A37" s="223">
        <v>20</v>
      </c>
      <c r="B37" s="443"/>
      <c r="C37" s="444"/>
      <c r="D37" s="444"/>
      <c r="E37" s="445"/>
      <c r="F37" s="223"/>
      <c r="G37" s="405"/>
      <c r="H37" s="405"/>
      <c r="I37" s="405"/>
      <c r="J37" s="95"/>
      <c r="K37" s="105"/>
    </row>
    <row r="38" spans="1:11" s="104" customFormat="1" ht="15" customHeight="1" outlineLevel="1" x14ac:dyDescent="0.25">
      <c r="A38" s="223">
        <v>21</v>
      </c>
      <c r="B38" s="443"/>
      <c r="C38" s="444"/>
      <c r="D38" s="444"/>
      <c r="E38" s="445"/>
      <c r="F38" s="223"/>
      <c r="G38" s="405"/>
      <c r="H38" s="405"/>
      <c r="I38" s="405"/>
      <c r="J38" s="103"/>
      <c r="K38" s="105"/>
    </row>
    <row r="39" spans="1:11" s="104" customFormat="1" ht="15" customHeight="1" outlineLevel="1" x14ac:dyDescent="0.25">
      <c r="A39" s="223">
        <v>22</v>
      </c>
      <c r="B39" s="443"/>
      <c r="C39" s="444"/>
      <c r="D39" s="444"/>
      <c r="E39" s="445"/>
      <c r="F39" s="223"/>
      <c r="G39" s="405"/>
      <c r="H39" s="405"/>
      <c r="I39" s="405"/>
      <c r="J39" s="103"/>
      <c r="K39" s="105"/>
    </row>
    <row r="40" spans="1:11" s="104" customFormat="1" ht="15" customHeight="1" outlineLevel="1" x14ac:dyDescent="0.25">
      <c r="A40" s="223">
        <v>23</v>
      </c>
      <c r="B40" s="443"/>
      <c r="C40" s="444"/>
      <c r="D40" s="444"/>
      <c r="E40" s="445"/>
      <c r="F40" s="223"/>
      <c r="G40" s="405"/>
      <c r="H40" s="405"/>
      <c r="I40" s="405"/>
      <c r="J40" s="103"/>
      <c r="K40" s="105"/>
    </row>
    <row r="41" spans="1:11" s="104" customFormat="1" ht="15" customHeight="1" outlineLevel="1" x14ac:dyDescent="0.25">
      <c r="A41" s="223">
        <v>24</v>
      </c>
      <c r="B41" s="443"/>
      <c r="C41" s="444"/>
      <c r="D41" s="444"/>
      <c r="E41" s="445"/>
      <c r="F41" s="223"/>
      <c r="G41" s="405"/>
      <c r="H41" s="405"/>
      <c r="I41" s="405"/>
      <c r="J41" s="103"/>
      <c r="K41" s="105"/>
    </row>
    <row r="42" spans="1:11" s="104" customFormat="1" ht="15" customHeight="1" outlineLevel="1" x14ac:dyDescent="0.25">
      <c r="A42" s="223">
        <v>25</v>
      </c>
      <c r="B42" s="443"/>
      <c r="C42" s="444"/>
      <c r="D42" s="444"/>
      <c r="E42" s="445"/>
      <c r="F42" s="223"/>
      <c r="G42" s="405"/>
      <c r="H42" s="405"/>
      <c r="I42" s="405"/>
      <c r="J42" s="103"/>
      <c r="K42" s="105"/>
    </row>
    <row r="43" spans="1:11" s="104" customFormat="1" ht="15" customHeight="1" outlineLevel="1" x14ac:dyDescent="0.25">
      <c r="A43" s="223">
        <v>26</v>
      </c>
      <c r="B43" s="443"/>
      <c r="C43" s="444"/>
      <c r="D43" s="444"/>
      <c r="E43" s="445"/>
      <c r="F43" s="223"/>
      <c r="G43" s="405"/>
      <c r="H43" s="405"/>
      <c r="I43" s="405"/>
      <c r="J43" s="103"/>
      <c r="K43" s="105"/>
    </row>
    <row r="44" spans="1:11" s="104" customFormat="1" ht="15" customHeight="1" outlineLevel="1" x14ac:dyDescent="0.25">
      <c r="A44" s="223">
        <v>27</v>
      </c>
      <c r="B44" s="443"/>
      <c r="C44" s="444"/>
      <c r="D44" s="444"/>
      <c r="E44" s="445"/>
      <c r="F44" s="223"/>
      <c r="G44" s="405"/>
      <c r="H44" s="405"/>
      <c r="I44" s="405"/>
      <c r="J44" s="103"/>
      <c r="K44" s="105"/>
    </row>
    <row r="45" spans="1:11" s="104" customFormat="1" ht="15" hidden="1" customHeight="1" outlineLevel="1" x14ac:dyDescent="0.25">
      <c r="A45" s="223">
        <v>28</v>
      </c>
      <c r="B45" s="443">
        <f>'табель мног обед'!B21</f>
        <v>0</v>
      </c>
      <c r="C45" s="444"/>
      <c r="D45" s="444"/>
      <c r="E45" s="445"/>
      <c r="F45" s="223">
        <f>'табель мног обед'!C21</f>
        <v>0</v>
      </c>
      <c r="G45" s="405">
        <f>'табель мног завтрак'!AS39+'табель мног обед'!AP21</f>
        <v>0</v>
      </c>
      <c r="H45" s="405"/>
      <c r="I45" s="405"/>
      <c r="J45" s="95"/>
      <c r="K45" s="105"/>
    </row>
    <row r="46" spans="1:11" s="104" customFormat="1" ht="15" hidden="1" customHeight="1" outlineLevel="1" x14ac:dyDescent="0.25">
      <c r="A46" s="223">
        <v>29</v>
      </c>
      <c r="B46" s="443">
        <f>'табель мног обед'!B22</f>
        <v>0</v>
      </c>
      <c r="C46" s="444"/>
      <c r="D46" s="444"/>
      <c r="E46" s="445"/>
      <c r="F46" s="223">
        <f>'табель мног обед'!C22</f>
        <v>0</v>
      </c>
      <c r="G46" s="405">
        <f>'табель мног завтрак'!AS40+'табель мног обед'!AP22</f>
        <v>0</v>
      </c>
      <c r="H46" s="405"/>
      <c r="I46" s="405"/>
      <c r="J46" s="95"/>
      <c r="K46" s="105"/>
    </row>
    <row r="47" spans="1:11" s="104" customFormat="1" ht="15" hidden="1" customHeight="1" outlineLevel="1" x14ac:dyDescent="0.25">
      <c r="A47" s="223">
        <v>30</v>
      </c>
      <c r="B47" s="443">
        <f>'табель мног обед'!B23</f>
        <v>0</v>
      </c>
      <c r="C47" s="444"/>
      <c r="D47" s="444"/>
      <c r="E47" s="445"/>
      <c r="F47" s="223">
        <f>'табель мног обед'!C23</f>
        <v>0</v>
      </c>
      <c r="G47" s="405">
        <f>'табель мног завтрак'!AS41+'табель мног обед'!AP23</f>
        <v>0</v>
      </c>
      <c r="H47" s="405"/>
      <c r="I47" s="405"/>
      <c r="J47" s="95"/>
      <c r="K47" s="105"/>
    </row>
    <row r="48" spans="1:11" s="104" customFormat="1" ht="15" hidden="1" customHeight="1" outlineLevel="1" x14ac:dyDescent="0.25">
      <c r="A48" s="223">
        <v>31</v>
      </c>
      <c r="B48" s="443">
        <f>'табель мног обед'!B24</f>
        <v>0</v>
      </c>
      <c r="C48" s="444"/>
      <c r="D48" s="444"/>
      <c r="E48" s="445"/>
      <c r="F48" s="223">
        <f>'табель мног обед'!C24</f>
        <v>0</v>
      </c>
      <c r="G48" s="405">
        <f>'табель мног завтрак'!AS42+'табель мног обед'!AP24</f>
        <v>0</v>
      </c>
      <c r="H48" s="405"/>
      <c r="I48" s="405"/>
      <c r="J48" s="103"/>
      <c r="K48" s="105"/>
    </row>
    <row r="49" spans="1:11" s="104" customFormat="1" ht="15" hidden="1" customHeight="1" outlineLevel="1" x14ac:dyDescent="0.25">
      <c r="A49" s="223">
        <v>32</v>
      </c>
      <c r="B49" s="443">
        <f>'табель мног обед'!B25</f>
        <v>0</v>
      </c>
      <c r="C49" s="444"/>
      <c r="D49" s="444"/>
      <c r="E49" s="445"/>
      <c r="F49" s="223">
        <f>'табель мног обед'!C25</f>
        <v>0</v>
      </c>
      <c r="G49" s="405">
        <f>'табель мног завтрак'!AS43+'табель мног обед'!AP25</f>
        <v>0</v>
      </c>
      <c r="H49" s="405"/>
      <c r="I49" s="405"/>
      <c r="J49" s="103"/>
      <c r="K49" s="105"/>
    </row>
    <row r="50" spans="1:11" s="104" customFormat="1" ht="15" hidden="1" customHeight="1" outlineLevel="1" x14ac:dyDescent="0.25">
      <c r="A50" s="223">
        <v>33</v>
      </c>
      <c r="B50" s="443">
        <f>'табель мног обед'!B26</f>
        <v>0</v>
      </c>
      <c r="C50" s="444"/>
      <c r="D50" s="444"/>
      <c r="E50" s="445"/>
      <c r="F50" s="223">
        <f>'табель мног обед'!C26</f>
        <v>0</v>
      </c>
      <c r="G50" s="405">
        <f>'табель мног завтрак'!AS44+'табель мног обед'!AP26</f>
        <v>0</v>
      </c>
      <c r="H50" s="405"/>
      <c r="I50" s="405"/>
      <c r="J50" s="103"/>
      <c r="K50" s="105"/>
    </row>
    <row r="51" spans="1:11" s="104" customFormat="1" ht="15" hidden="1" customHeight="1" outlineLevel="1" x14ac:dyDescent="0.25">
      <c r="A51" s="223">
        <v>34</v>
      </c>
      <c r="B51" s="443">
        <f>'табель мног обед'!B27</f>
        <v>0</v>
      </c>
      <c r="C51" s="444"/>
      <c r="D51" s="444"/>
      <c r="E51" s="445"/>
      <c r="F51" s="223">
        <f>'табель мног обед'!C27</f>
        <v>0</v>
      </c>
      <c r="G51" s="405">
        <f>'табель мног завтрак'!AS45+'табель мног обед'!AP27</f>
        <v>0</v>
      </c>
      <c r="H51" s="405"/>
      <c r="I51" s="405"/>
      <c r="J51" s="103"/>
      <c r="K51" s="105"/>
    </row>
    <row r="52" spans="1:11" s="104" customFormat="1" ht="15" hidden="1" customHeight="1" outlineLevel="1" x14ac:dyDescent="0.25">
      <c r="A52" s="223">
        <v>35</v>
      </c>
      <c r="B52" s="443">
        <f>'табель мног обед'!B28</f>
        <v>0</v>
      </c>
      <c r="C52" s="444"/>
      <c r="D52" s="444"/>
      <c r="E52" s="445"/>
      <c r="F52" s="223">
        <f>'табель мног обед'!C28</f>
        <v>0</v>
      </c>
      <c r="G52" s="405">
        <f>'табель мног завтрак'!AS46+'табель мног обед'!AP28</f>
        <v>0</v>
      </c>
      <c r="H52" s="405"/>
      <c r="I52" s="405"/>
      <c r="J52" s="103"/>
      <c r="K52" s="105"/>
    </row>
    <row r="53" spans="1:11" s="104" customFormat="1" ht="15" hidden="1" customHeight="1" outlineLevel="1" x14ac:dyDescent="0.25">
      <c r="A53" s="223">
        <v>36</v>
      </c>
      <c r="B53" s="443">
        <f>'табель мног обед'!B29</f>
        <v>0</v>
      </c>
      <c r="C53" s="444"/>
      <c r="D53" s="444"/>
      <c r="E53" s="445"/>
      <c r="F53" s="223">
        <f>'табель мног обед'!C29</f>
        <v>0</v>
      </c>
      <c r="G53" s="405">
        <f>'табель мног завтрак'!AS47+'табель мног обед'!AP29</f>
        <v>0</v>
      </c>
      <c r="H53" s="405"/>
      <c r="I53" s="405"/>
      <c r="J53" s="103"/>
      <c r="K53" s="105"/>
    </row>
    <row r="54" spans="1:11" s="104" customFormat="1" ht="15" hidden="1" customHeight="1" x14ac:dyDescent="0.25">
      <c r="A54" s="223">
        <v>37</v>
      </c>
      <c r="B54" s="443">
        <f>'табель мног обед'!B33</f>
        <v>0</v>
      </c>
      <c r="C54" s="444"/>
      <c r="D54" s="444"/>
      <c r="E54" s="445"/>
      <c r="F54" s="223">
        <f>'табель мног обед'!C33</f>
        <v>0</v>
      </c>
      <c r="G54" s="405"/>
      <c r="H54" s="405"/>
      <c r="I54" s="405"/>
      <c r="J54" s="103"/>
      <c r="K54" s="105"/>
    </row>
    <row r="55" spans="1:11" s="104" customFormat="1" ht="15" hidden="1" customHeight="1" x14ac:dyDescent="0.25">
      <c r="A55" s="223">
        <v>38</v>
      </c>
      <c r="B55" s="443">
        <f>'табель мног обед'!B34</f>
        <v>0</v>
      </c>
      <c r="C55" s="444"/>
      <c r="D55" s="444"/>
      <c r="E55" s="445"/>
      <c r="F55" s="223">
        <f>'табель мног обед'!C34</f>
        <v>0</v>
      </c>
      <c r="G55" s="405"/>
      <c r="H55" s="405"/>
      <c r="I55" s="405"/>
      <c r="J55" s="103"/>
      <c r="K55" s="105"/>
    </row>
    <row r="56" spans="1:11" s="104" customFormat="1" ht="15" hidden="1" customHeight="1" x14ac:dyDescent="0.25">
      <c r="A56" s="223">
        <v>39</v>
      </c>
      <c r="B56" s="443">
        <f>'табель мног обед'!B35</f>
        <v>0</v>
      </c>
      <c r="C56" s="444"/>
      <c r="D56" s="444"/>
      <c r="E56" s="445"/>
      <c r="F56" s="223">
        <f>'табель мног обед'!C35</f>
        <v>0</v>
      </c>
      <c r="G56" s="405">
        <f>'табель мног завтрак'!AS50+'табель мног обед'!AP35</f>
        <v>0</v>
      </c>
      <c r="H56" s="405"/>
      <c r="I56" s="405"/>
      <c r="J56" s="103"/>
      <c r="K56" s="105"/>
    </row>
    <row r="57" spans="1:11" s="104" customFormat="1" ht="15" hidden="1" customHeight="1" x14ac:dyDescent="0.25">
      <c r="A57" s="223">
        <v>40</v>
      </c>
      <c r="B57" s="443">
        <f>'табель мног обед'!B36</f>
        <v>0</v>
      </c>
      <c r="C57" s="444"/>
      <c r="D57" s="444"/>
      <c r="E57" s="445"/>
      <c r="F57" s="223">
        <f>'табель мног обед'!C36</f>
        <v>0</v>
      </c>
      <c r="G57" s="405">
        <f>'табель мног завтрак'!AS51+'табель мног обед'!AP36</f>
        <v>0</v>
      </c>
      <c r="H57" s="405"/>
      <c r="I57" s="405"/>
      <c r="J57" s="103"/>
      <c r="K57" s="105"/>
    </row>
    <row r="58" spans="1:11" s="104" customFormat="1" ht="15" hidden="1" customHeight="1" x14ac:dyDescent="0.25">
      <c r="A58" s="223">
        <v>41</v>
      </c>
      <c r="B58" s="443">
        <f>'табель мног обед'!B37</f>
        <v>0</v>
      </c>
      <c r="C58" s="444"/>
      <c r="D58" s="444"/>
      <c r="E58" s="445"/>
      <c r="F58" s="223">
        <f>'табель мног обед'!C37</f>
        <v>0</v>
      </c>
      <c r="G58" s="405">
        <f>'табель ОВЗ завтрак'!AR48+'табель ОВЗ обед'!AO48</f>
        <v>0</v>
      </c>
      <c r="H58" s="405"/>
      <c r="I58" s="405"/>
      <c r="J58" s="95"/>
      <c r="K58" s="105"/>
    </row>
    <row r="59" spans="1:11" s="104" customFormat="1" ht="15" hidden="1" customHeight="1" collapsed="1" x14ac:dyDescent="0.25">
      <c r="A59" s="223">
        <v>42</v>
      </c>
      <c r="B59" s="443">
        <f>'табель мног обед'!B38</f>
        <v>0</v>
      </c>
      <c r="C59" s="444"/>
      <c r="D59" s="444"/>
      <c r="E59" s="445"/>
      <c r="F59" s="223">
        <f>'табель мног обед'!C38</f>
        <v>0</v>
      </c>
      <c r="G59" s="405">
        <f>'табель ОВЗ завтрак'!AR49+'табель ОВЗ обед'!AO49</f>
        <v>0</v>
      </c>
      <c r="H59" s="405"/>
      <c r="I59" s="405"/>
      <c r="J59" s="95"/>
      <c r="K59" s="105"/>
    </row>
    <row r="60" spans="1:11" s="104" customFormat="1" ht="15" hidden="1" customHeight="1" x14ac:dyDescent="0.25">
      <c r="A60" s="223">
        <v>43</v>
      </c>
      <c r="B60" s="443">
        <f>'табель мног обед'!B39</f>
        <v>0</v>
      </c>
      <c r="C60" s="444"/>
      <c r="D60" s="444"/>
      <c r="E60" s="445"/>
      <c r="F60" s="223">
        <f>'табель мног обед'!C39</f>
        <v>0</v>
      </c>
      <c r="G60" s="405"/>
      <c r="H60" s="405"/>
      <c r="I60" s="405"/>
      <c r="J60" s="103"/>
      <c r="K60" s="105"/>
    </row>
    <row r="61" spans="1:11" s="104" customFormat="1" ht="15" hidden="1" customHeight="1" collapsed="1" x14ac:dyDescent="0.25">
      <c r="A61" s="223">
        <v>44</v>
      </c>
      <c r="B61" s="443">
        <f>'табель мног обед'!B40</f>
        <v>0</v>
      </c>
      <c r="C61" s="444"/>
      <c r="D61" s="444"/>
      <c r="E61" s="445"/>
      <c r="F61" s="223">
        <f>'табель мног обед'!C40</f>
        <v>0</v>
      </c>
      <c r="G61" s="405">
        <f>'табель ОВЗ завтрак'!AR51+'табель ОВЗ обед'!AO51</f>
        <v>0</v>
      </c>
      <c r="H61" s="405"/>
      <c r="I61" s="405"/>
      <c r="J61" s="103"/>
      <c r="K61" s="105"/>
    </row>
    <row r="62" spans="1:11" s="104" customFormat="1" ht="15" hidden="1" customHeight="1" collapsed="1" x14ac:dyDescent="0.25">
      <c r="A62" s="223">
        <v>45</v>
      </c>
      <c r="B62" s="443">
        <f>'табель мног обед'!B41</f>
        <v>0</v>
      </c>
      <c r="C62" s="444"/>
      <c r="D62" s="444"/>
      <c r="E62" s="445"/>
      <c r="F62" s="223">
        <f>'табель мног обед'!C41</f>
        <v>0</v>
      </c>
      <c r="G62" s="405">
        <f>'табель ОВЗ завтрак'!AR52+'табель ОВЗ обед'!AO52</f>
        <v>0</v>
      </c>
      <c r="H62" s="405"/>
      <c r="I62" s="405"/>
      <c r="J62" s="103"/>
      <c r="K62" s="105"/>
    </row>
    <row r="63" spans="1:11" s="104" customFormat="1" ht="15" hidden="1" customHeight="1" x14ac:dyDescent="0.25">
      <c r="A63" s="223">
        <v>46</v>
      </c>
      <c r="B63" s="443">
        <f>'табель мног обед'!B42</f>
        <v>0</v>
      </c>
      <c r="C63" s="444"/>
      <c r="D63" s="444"/>
      <c r="E63" s="445"/>
      <c r="F63" s="223">
        <f>'табель мног обед'!C42</f>
        <v>0</v>
      </c>
      <c r="G63" s="405">
        <f>'табель ОВЗ завтрак'!AR53+'табель ОВЗ обед'!AO53</f>
        <v>0</v>
      </c>
      <c r="H63" s="405"/>
      <c r="I63" s="405"/>
      <c r="J63" s="95"/>
      <c r="K63" s="105"/>
    </row>
    <row r="64" spans="1:11" s="104" customFormat="1" ht="15" hidden="1" customHeight="1" x14ac:dyDescent="0.25">
      <c r="A64" s="223">
        <v>47</v>
      </c>
      <c r="B64" s="443">
        <f>'табель мног обед'!B43</f>
        <v>0</v>
      </c>
      <c r="C64" s="444"/>
      <c r="D64" s="444"/>
      <c r="E64" s="445"/>
      <c r="F64" s="223">
        <f>'табель мног обед'!C43</f>
        <v>0</v>
      </c>
      <c r="G64" s="405">
        <f>'табель ОВЗ завтрак'!AR54+'табель ОВЗ обед'!AO54</f>
        <v>0</v>
      </c>
      <c r="H64" s="405"/>
      <c r="I64" s="405"/>
      <c r="J64" s="103"/>
      <c r="K64" s="105"/>
    </row>
    <row r="65" spans="1:11" s="104" customFormat="1" ht="15" hidden="1" customHeight="1" x14ac:dyDescent="0.25">
      <c r="A65" s="223">
        <v>48</v>
      </c>
      <c r="B65" s="443">
        <f>'табель мног обед'!B44</f>
        <v>0</v>
      </c>
      <c r="C65" s="444"/>
      <c r="D65" s="444"/>
      <c r="E65" s="445"/>
      <c r="F65" s="223">
        <f>'табель мног обед'!C44</f>
        <v>0</v>
      </c>
      <c r="G65" s="405">
        <f>'табель ОВЗ завтрак'!AR55+'табель ОВЗ обед'!AO55</f>
        <v>0</v>
      </c>
      <c r="H65" s="405"/>
      <c r="I65" s="405"/>
      <c r="J65" s="103"/>
      <c r="K65" s="105"/>
    </row>
    <row r="66" spans="1:11" s="104" customFormat="1" ht="15" hidden="1" customHeight="1" x14ac:dyDescent="0.25">
      <c r="A66" s="223">
        <v>49</v>
      </c>
      <c r="B66" s="443">
        <f>'табель мног обед'!B45</f>
        <v>0</v>
      </c>
      <c r="C66" s="444"/>
      <c r="D66" s="444"/>
      <c r="E66" s="445"/>
      <c r="F66" s="223">
        <f>'табель мног обед'!C45</f>
        <v>0</v>
      </c>
      <c r="G66" s="405">
        <f>'табель ОВЗ завтрак'!AR56+'табель ОВЗ обед'!AO56</f>
        <v>0</v>
      </c>
      <c r="H66" s="405"/>
      <c r="I66" s="405"/>
      <c r="J66" s="103"/>
      <c r="K66" s="105"/>
    </row>
    <row r="67" spans="1:11" s="104" customFormat="1" ht="15" hidden="1" customHeight="1" x14ac:dyDescent="0.25">
      <c r="A67" s="223">
        <v>50</v>
      </c>
      <c r="B67" s="443">
        <f>'табель мног обед'!B46</f>
        <v>0</v>
      </c>
      <c r="C67" s="444"/>
      <c r="D67" s="444"/>
      <c r="E67" s="445"/>
      <c r="F67" s="223">
        <f>'табель мног обед'!C46</f>
        <v>0</v>
      </c>
      <c r="G67" s="405">
        <f>'табель ОВЗ завтрак'!AR57+'табель ОВЗ обед'!AO57</f>
        <v>0</v>
      </c>
      <c r="H67" s="405"/>
      <c r="I67" s="405"/>
      <c r="J67" s="103"/>
      <c r="K67" s="105"/>
    </row>
    <row r="68" spans="1:11" s="104" customFormat="1" ht="15" hidden="1" customHeight="1" x14ac:dyDescent="0.25">
      <c r="A68" s="223">
        <v>51</v>
      </c>
      <c r="B68" s="443">
        <f>'табель мног обед'!B47</f>
        <v>0</v>
      </c>
      <c r="C68" s="444"/>
      <c r="D68" s="444"/>
      <c r="E68" s="445"/>
      <c r="F68" s="223">
        <f>'табель мног обед'!C47</f>
        <v>0</v>
      </c>
      <c r="G68" s="405">
        <f>'табель ОВЗ завтрак'!AR58+'табель ОВЗ обед'!AO58</f>
        <v>0</v>
      </c>
      <c r="H68" s="405"/>
      <c r="I68" s="405"/>
      <c r="J68" s="103"/>
      <c r="K68" s="105"/>
    </row>
    <row r="69" spans="1:11" s="104" customFormat="1" ht="15" hidden="1" customHeight="1" x14ac:dyDescent="0.25">
      <c r="A69" s="223">
        <v>52</v>
      </c>
      <c r="B69" s="443">
        <f>'табель мног обед'!B48</f>
        <v>0</v>
      </c>
      <c r="C69" s="444"/>
      <c r="D69" s="444"/>
      <c r="E69" s="445"/>
      <c r="F69" s="223">
        <f>'табель мног обед'!C48</f>
        <v>0</v>
      </c>
      <c r="G69" s="405">
        <f>'табель ОВЗ завтрак'!AR59+'табель ОВЗ обед'!AO59</f>
        <v>0</v>
      </c>
      <c r="H69" s="405"/>
      <c r="I69" s="405"/>
      <c r="J69" s="103"/>
      <c r="K69" s="105"/>
    </row>
    <row r="70" spans="1:11" s="104" customFormat="1" ht="15" hidden="1" customHeight="1" x14ac:dyDescent="0.25">
      <c r="A70" s="223">
        <v>53</v>
      </c>
      <c r="B70" s="443">
        <f>'табель мног обед'!B49</f>
        <v>0</v>
      </c>
      <c r="C70" s="444"/>
      <c r="D70" s="444"/>
      <c r="E70" s="445"/>
      <c r="F70" s="223">
        <f>'табель мног обед'!C49</f>
        <v>0</v>
      </c>
      <c r="G70" s="405">
        <f>'табель ОВЗ завтрак'!AR60+'табель ОВЗ обед'!AO60</f>
        <v>0</v>
      </c>
      <c r="H70" s="405"/>
      <c r="I70" s="405"/>
      <c r="J70" s="103"/>
      <c r="K70" s="105"/>
    </row>
    <row r="71" spans="1:11" s="104" customFormat="1" ht="15" hidden="1" customHeight="1" x14ac:dyDescent="0.25">
      <c r="A71" s="223">
        <v>54</v>
      </c>
      <c r="B71" s="443">
        <f>'табель мног обед'!B50</f>
        <v>0</v>
      </c>
      <c r="C71" s="444"/>
      <c r="D71" s="444"/>
      <c r="E71" s="445"/>
      <c r="F71" s="223">
        <f>'табель мног обед'!C50</f>
        <v>0</v>
      </c>
      <c r="G71" s="405">
        <f>'табель ОВЗ завтрак'!AR61+'табель ОВЗ обед'!AO61</f>
        <v>0</v>
      </c>
      <c r="H71" s="405"/>
      <c r="I71" s="405"/>
      <c r="J71" s="103"/>
      <c r="K71" s="105"/>
    </row>
    <row r="72" spans="1:11" s="104" customFormat="1" ht="15" hidden="1" customHeight="1" x14ac:dyDescent="0.25">
      <c r="A72" s="223">
        <v>55</v>
      </c>
      <c r="B72" s="443">
        <f>'табель мног обед'!B51</f>
        <v>0</v>
      </c>
      <c r="C72" s="444"/>
      <c r="D72" s="444"/>
      <c r="E72" s="445"/>
      <c r="F72" s="223">
        <f>'табель мног обед'!C51</f>
        <v>0</v>
      </c>
      <c r="G72" s="405">
        <f>'табель ОВЗ завтрак'!AR62+'табель ОВЗ обед'!AO62</f>
        <v>0</v>
      </c>
      <c r="H72" s="405"/>
      <c r="I72" s="405"/>
      <c r="J72" s="103"/>
      <c r="K72" s="105"/>
    </row>
    <row r="73" spans="1:11" s="104" customFormat="1" ht="15" hidden="1" customHeight="1" x14ac:dyDescent="0.25">
      <c r="A73" s="223">
        <v>56</v>
      </c>
      <c r="B73" s="443">
        <f>'табель мног обед'!B52</f>
        <v>0</v>
      </c>
      <c r="C73" s="444"/>
      <c r="D73" s="444"/>
      <c r="E73" s="445"/>
      <c r="F73" s="223">
        <f>'табель мног обед'!C52</f>
        <v>0</v>
      </c>
      <c r="G73" s="405">
        <f>'табель ОВЗ завтрак'!AR63+'табель ОВЗ обед'!AO63</f>
        <v>0</v>
      </c>
      <c r="H73" s="405"/>
      <c r="I73" s="405"/>
      <c r="J73" s="103"/>
      <c r="K73" s="105"/>
    </row>
    <row r="74" spans="1:11" s="104" customFormat="1" ht="15" hidden="1" customHeight="1" x14ac:dyDescent="0.25">
      <c r="A74" s="223">
        <v>57</v>
      </c>
      <c r="B74" s="443">
        <f>'табель мног обед'!B53</f>
        <v>0</v>
      </c>
      <c r="C74" s="444"/>
      <c r="D74" s="444"/>
      <c r="E74" s="445"/>
      <c r="F74" s="223">
        <f>'табель мног обед'!C53</f>
        <v>0</v>
      </c>
      <c r="G74" s="405">
        <f>'табель ОВЗ завтрак'!AR64+'табель ОВЗ обед'!AO64</f>
        <v>0</v>
      </c>
      <c r="H74" s="405"/>
      <c r="I74" s="405"/>
      <c r="J74" s="103"/>
      <c r="K74" s="105"/>
    </row>
    <row r="75" spans="1:11" s="104" customFormat="1" ht="15" hidden="1" customHeight="1" x14ac:dyDescent="0.25">
      <c r="A75" s="223">
        <v>58</v>
      </c>
      <c r="B75" s="443">
        <f>'табель мног обед'!B54</f>
        <v>0</v>
      </c>
      <c r="C75" s="444"/>
      <c r="D75" s="444"/>
      <c r="E75" s="445"/>
      <c r="F75" s="223">
        <f>'табель мног обед'!C54</f>
        <v>0</v>
      </c>
      <c r="G75" s="405">
        <f>'табель ОВЗ завтрак'!AR65+'табель ОВЗ обед'!AO65</f>
        <v>0</v>
      </c>
      <c r="H75" s="405"/>
      <c r="I75" s="405"/>
      <c r="J75" s="103"/>
      <c r="K75" s="105"/>
    </row>
    <row r="76" spans="1:11" s="104" customFormat="1" ht="15" hidden="1" customHeight="1" x14ac:dyDescent="0.25">
      <c r="A76" s="223">
        <v>59</v>
      </c>
      <c r="B76" s="443">
        <f>'табель мног обед'!B55</f>
        <v>0</v>
      </c>
      <c r="C76" s="444"/>
      <c r="D76" s="444"/>
      <c r="E76" s="445"/>
      <c r="F76" s="223">
        <f>'табель мног обед'!C55</f>
        <v>0</v>
      </c>
      <c r="G76" s="405">
        <f>'табель ОВЗ завтрак'!AR66+'табель ОВЗ обед'!AO66</f>
        <v>0</v>
      </c>
      <c r="H76" s="405"/>
      <c r="I76" s="405"/>
      <c r="J76" s="103"/>
      <c r="K76" s="105"/>
    </row>
    <row r="77" spans="1:11" s="104" customFormat="1" ht="15" hidden="1" customHeight="1" x14ac:dyDescent="0.25">
      <c r="A77" s="223">
        <v>60</v>
      </c>
      <c r="B77" s="443">
        <f>'табель мног обед'!B56</f>
        <v>0</v>
      </c>
      <c r="C77" s="444"/>
      <c r="D77" s="444"/>
      <c r="E77" s="445"/>
      <c r="F77" s="223">
        <f>'табель мног обед'!C56</f>
        <v>0</v>
      </c>
      <c r="G77" s="405">
        <f>'табель ОВЗ завтрак'!AR67+'табель ОВЗ обед'!AO67</f>
        <v>0</v>
      </c>
      <c r="H77" s="405"/>
      <c r="I77" s="405"/>
      <c r="J77" s="103"/>
      <c r="K77" s="105"/>
    </row>
    <row r="78" spans="1:11" s="104" customFormat="1" ht="15" hidden="1" customHeight="1" x14ac:dyDescent="0.25">
      <c r="A78" s="223">
        <v>61</v>
      </c>
      <c r="B78" s="443">
        <f>'табель мног обед'!B57</f>
        <v>0</v>
      </c>
      <c r="C78" s="444"/>
      <c r="D78" s="444"/>
      <c r="E78" s="445"/>
      <c r="F78" s="223">
        <f>'табель мног обед'!C57</f>
        <v>0</v>
      </c>
      <c r="G78" s="405">
        <f>'табель ОВЗ завтрак'!AR71+'табель ОВЗ обед'!AO71</f>
        <v>0</v>
      </c>
      <c r="H78" s="405"/>
      <c r="I78" s="405"/>
      <c r="J78" s="103"/>
      <c r="K78" s="105"/>
    </row>
    <row r="79" spans="1:11" s="104" customFormat="1" ht="24" hidden="1" customHeight="1" x14ac:dyDescent="0.25">
      <c r="A79" s="223">
        <v>62</v>
      </c>
      <c r="B79" s="443">
        <f>'табель мног обед'!B58</f>
        <v>0</v>
      </c>
      <c r="C79" s="444"/>
      <c r="D79" s="444"/>
      <c r="E79" s="445"/>
      <c r="F79" s="223">
        <f>'табель мног обед'!C58</f>
        <v>0</v>
      </c>
      <c r="G79" s="405">
        <f>'табель ОВЗ завтрак'!AR72+'табель ОВЗ обед'!AO72</f>
        <v>0</v>
      </c>
      <c r="H79" s="405"/>
      <c r="I79" s="405"/>
      <c r="J79" s="103"/>
      <c r="K79" s="105"/>
    </row>
    <row r="80" spans="1:11" s="104" customFormat="1" ht="24" hidden="1" customHeight="1" x14ac:dyDescent="0.25">
      <c r="A80" s="223">
        <v>63</v>
      </c>
      <c r="B80" s="443">
        <f>'табель мног обед'!B59</f>
        <v>0</v>
      </c>
      <c r="C80" s="444"/>
      <c r="D80" s="444"/>
      <c r="E80" s="445"/>
      <c r="F80" s="223">
        <f>'табель мног обед'!C59</f>
        <v>0</v>
      </c>
      <c r="G80" s="405">
        <f>'табель ОВЗ завтрак'!AR73+'табель ОВЗ обед'!AO73</f>
        <v>0</v>
      </c>
      <c r="H80" s="405"/>
      <c r="I80" s="405"/>
      <c r="J80" s="103"/>
      <c r="K80" s="105"/>
    </row>
    <row r="81" spans="1:11" s="104" customFormat="1" ht="34.5" hidden="1" customHeight="1" x14ac:dyDescent="0.25">
      <c r="A81" s="223">
        <v>64</v>
      </c>
      <c r="B81" s="443">
        <f>'табель мног обед'!B60</f>
        <v>0</v>
      </c>
      <c r="C81" s="444"/>
      <c r="D81" s="444"/>
      <c r="E81" s="445"/>
      <c r="F81" s="223">
        <f>'табель мног обед'!C60</f>
        <v>0</v>
      </c>
      <c r="G81" s="405">
        <f>'табель ОВЗ завтрак'!AR74+'табель ОВЗ обед'!AO74</f>
        <v>0</v>
      </c>
      <c r="H81" s="405"/>
      <c r="I81" s="405"/>
      <c r="J81" s="103"/>
      <c r="K81" s="105"/>
    </row>
    <row r="82" spans="1:11" s="104" customFormat="1" ht="27" hidden="1" customHeight="1" x14ac:dyDescent="0.25">
      <c r="A82" s="223">
        <v>65</v>
      </c>
      <c r="B82" s="443">
        <f>'табель мног обед'!B61</f>
        <v>0</v>
      </c>
      <c r="C82" s="444"/>
      <c r="D82" s="444"/>
      <c r="E82" s="445"/>
      <c r="F82" s="223">
        <f>'табель мног обед'!C61</f>
        <v>0</v>
      </c>
      <c r="G82" s="405">
        <f>'табель ОВЗ завтрак'!AR75+'табель ОВЗ обед'!AO75</f>
        <v>0</v>
      </c>
      <c r="H82" s="405"/>
      <c r="I82" s="405"/>
      <c r="J82" s="103"/>
      <c r="K82" s="105"/>
    </row>
    <row r="83" spans="1:11" s="104" customFormat="1" ht="15.75" hidden="1" customHeight="1" x14ac:dyDescent="0.25">
      <c r="A83" s="223">
        <v>66</v>
      </c>
      <c r="B83" s="443">
        <f>'табель мног обед'!B62</f>
        <v>0</v>
      </c>
      <c r="C83" s="444"/>
      <c r="D83" s="444"/>
      <c r="E83" s="445"/>
      <c r="F83" s="223">
        <f>'табель мног обед'!C62</f>
        <v>0</v>
      </c>
      <c r="G83" s="405">
        <f>'табель ОВЗ завтрак'!AR76+'табель ОВЗ обед'!AO76</f>
        <v>0</v>
      </c>
      <c r="H83" s="405"/>
      <c r="I83" s="405"/>
      <c r="J83" s="103"/>
      <c r="K83" s="105"/>
    </row>
    <row r="84" spans="1:11" s="104" customFormat="1" ht="15.75" hidden="1" customHeight="1" x14ac:dyDescent="0.25">
      <c r="A84" s="223">
        <v>67</v>
      </c>
      <c r="B84" s="443">
        <f>'табель мног обед'!B63</f>
        <v>0</v>
      </c>
      <c r="C84" s="444"/>
      <c r="D84" s="444"/>
      <c r="E84" s="445"/>
      <c r="F84" s="223">
        <f>'табель мног обед'!C63</f>
        <v>0</v>
      </c>
      <c r="G84" s="405">
        <f>'табель ОВЗ завтрак'!AR77+'табель ОВЗ обед'!AO77</f>
        <v>0</v>
      </c>
      <c r="H84" s="405"/>
      <c r="I84" s="405"/>
      <c r="J84" s="103"/>
      <c r="K84" s="105"/>
    </row>
    <row r="85" spans="1:11" s="98" customFormat="1" ht="12.75" customHeight="1" x14ac:dyDescent="0.25">
      <c r="A85" s="221"/>
      <c r="B85" s="414" t="s">
        <v>3</v>
      </c>
      <c r="C85" s="415"/>
      <c r="D85" s="415"/>
      <c r="E85" s="416"/>
      <c r="F85" s="83"/>
      <c r="G85" s="423">
        <f>SUM(G18:G84)</f>
        <v>0</v>
      </c>
      <c r="H85" s="423"/>
      <c r="I85" s="423"/>
      <c r="J85" s="106"/>
      <c r="K85" s="107"/>
    </row>
    <row r="86" spans="1:11" s="244" customFormat="1" ht="18.75" customHeight="1" x14ac:dyDescent="0.2">
      <c r="J86" s="52"/>
    </row>
    <row r="87" spans="1:11" s="244" customFormat="1" ht="27" hidden="1" customHeight="1" outlineLevel="1" x14ac:dyDescent="0.2">
      <c r="A87" s="244" t="s">
        <v>43</v>
      </c>
      <c r="C87" s="53"/>
      <c r="E87" s="108" t="s">
        <v>82</v>
      </c>
      <c r="J87" s="52"/>
    </row>
    <row r="88" spans="1:11" s="56" customFormat="1" ht="9.1999999999999993" hidden="1" customHeight="1" outlineLevel="1" x14ac:dyDescent="0.2">
      <c r="C88" s="109" t="s">
        <v>18</v>
      </c>
      <c r="E88" s="60" t="s">
        <v>19</v>
      </c>
      <c r="J88" s="61"/>
    </row>
    <row r="89" spans="1:11" s="244" customFormat="1" ht="15.2" hidden="1" customHeight="1" outlineLevel="1" x14ac:dyDescent="0.2">
      <c r="A89" s="244" t="s">
        <v>44</v>
      </c>
      <c r="C89" s="53"/>
      <c r="E89" s="108" t="s">
        <v>90</v>
      </c>
      <c r="J89" s="52"/>
    </row>
    <row r="90" spans="1:11" s="56" customFormat="1" ht="24" hidden="1" customHeight="1" outlineLevel="1" x14ac:dyDescent="0.2">
      <c r="C90" s="109" t="s">
        <v>18</v>
      </c>
      <c r="E90" s="60" t="s">
        <v>19</v>
      </c>
      <c r="H90" s="58"/>
      <c r="I90" s="58"/>
      <c r="J90" s="61"/>
    </row>
    <row r="91" spans="1:11" s="244" customFormat="1" ht="15.2" hidden="1" customHeight="1" outlineLevel="1" x14ac:dyDescent="0.25">
      <c r="C91" s="418"/>
      <c r="D91" s="418"/>
      <c r="J91" s="52"/>
    </row>
    <row r="92" spans="1:11" s="56" customFormat="1" ht="13.5" hidden="1" customHeight="1" outlineLevel="1" x14ac:dyDescent="0.2">
      <c r="B92" s="109"/>
      <c r="C92" s="60"/>
      <c r="H92" s="58"/>
      <c r="I92" s="58"/>
      <c r="J92" s="61"/>
    </row>
    <row r="93" spans="1:11" s="114" customFormat="1" ht="12.75" hidden="1" customHeight="1" outlineLevel="1" x14ac:dyDescent="0.2">
      <c r="A93" s="424">
        <f>G85</f>
        <v>0</v>
      </c>
      <c r="B93" s="424"/>
      <c r="C93" s="110">
        <f>FLOOR(A93/1000000,1)</f>
        <v>0</v>
      </c>
      <c r="D93" s="111" t="str">
        <f>IF(C93&gt;5,"",IF(C93=1,"Один ",IF(C93=2,"Два ",IF(C93=3,"Три ",IF(C93=4,"Четыре ",IF(C93=5,"Пять ",IF(C93=0,"")))))))</f>
        <v/>
      </c>
      <c r="E93" s="111" t="str">
        <f>IF(C93&lt;5,"",IF(C93=6,"Шесть ",IF(C93=7,"Семь ",IF(C93=8,"Восемь ",IF(C93=9,"Девять ",IF(C93=0,"",IF(C93=5,"")))))))</f>
        <v/>
      </c>
      <c r="F93" s="111" t="str">
        <f>IF(C93=0,"",IF(C93=1,"миллион ",IF(AND(C93&gt;=2,C93&lt;=4),"миллиона ","миллионов ")))</f>
        <v/>
      </c>
      <c r="G93" s="112"/>
      <c r="H93" s="112"/>
      <c r="I93" s="113"/>
    </row>
    <row r="94" spans="1:11" s="114" customFormat="1" ht="12.75" hidden="1" customHeight="1" outlineLevel="1" x14ac:dyDescent="0.2">
      <c r="B94" s="238"/>
      <c r="C94" s="110">
        <f>FLOOR((A93-C93*1000000)/100000,1)</f>
        <v>0</v>
      </c>
      <c r="D94" s="111" t="str">
        <f>IF(C94&gt;5,"",IF(C94=1,"Сто ",IF(C94=2,"Двести ",IF(C94=3,"Триста ",IF(C94=4,"Четыреста ",IF(C94=5,"Пятьсот ",IF(C94=0,"")))))))</f>
        <v/>
      </c>
      <c r="E94" s="111" t="str">
        <f>IF(C94&lt;5,"",IF(C94=6,"Шестьсот ",IF(C94=7,"Семьсот ",IF(C94=8,"Восемьсот ",IF(C94=9,"Девятьсот ",IF(C94=0,"",IF(C94=5,"")))))))</f>
        <v/>
      </c>
      <c r="F94" s="111" t="str">
        <f>IF(C94=0,"",IF(AND(C95=0,C96=0),"тысяч ",""))</f>
        <v/>
      </c>
      <c r="G94" s="112"/>
      <c r="H94" s="112"/>
      <c r="I94" s="113"/>
    </row>
    <row r="95" spans="1:11" s="114" customFormat="1" ht="12.75" hidden="1" customHeight="1" outlineLevel="1" x14ac:dyDescent="0.2">
      <c r="B95" s="238"/>
      <c r="C95" s="110">
        <f>FLOOR((A93-(C93*1000000)-(C94*100000))/10000,1)</f>
        <v>0</v>
      </c>
      <c r="D95" s="111" t="str">
        <f>IF(C95&gt;5,"",IF(AND(C95=1,C96=0),"Десять ",IF(C95=2,"Двадцать ",IF(C95=3,"Тридцать ",IF(C95=4,"Сорок ",IF(C95=5,"Пятьдесят ",IF(C95=0,"","")))))))</f>
        <v/>
      </c>
      <c r="E95" s="111" t="str">
        <f>IF(C95&lt;5,"",IF(C95=6,"Шестьдесят ",IF(C95=7,"Семьдесят ",IF(C95=8,"Восемьдесят ",IF(C95=9,"Девяносто ",IF(C95=0,"",IF(C95=5,"")))))))</f>
        <v/>
      </c>
      <c r="F95" s="111" t="str">
        <f>IF(C95=0,"",IF(C96=0,"тысяч ",""))</f>
        <v/>
      </c>
      <c r="G95" s="111" t="str">
        <f>IF(C95&lt;&gt;1,"",IF(C96=1,"Одиннадцать ",IF(C96=2,"Двенадцать ",IF(C96=3,"Тринадцать ",IF(C96=4,"Четырнадцать ",IF(C96=5,"Пятнадцать ",IF(C96=6,"Шестнадцать ",IF(C96=7,"Семнадцать ",""))))))))</f>
        <v/>
      </c>
      <c r="H95" s="112" t="str">
        <f>IF(C95&lt;&gt;1,"",IF(C96=0,"",IF(C96=8,"Восемнадцать ",IF(C96=9,"Девятнадцать ",""))))</f>
        <v/>
      </c>
      <c r="I95" s="113"/>
    </row>
    <row r="96" spans="1:11" s="114" customFormat="1" ht="12.75" hidden="1" customHeight="1" outlineLevel="1" x14ac:dyDescent="0.2">
      <c r="B96" s="238"/>
      <c r="C96" s="110">
        <f>FLOOR((A93-(C93*1000000)-(C94*100000)-(C95*10000))/1000,1)</f>
        <v>0</v>
      </c>
      <c r="D96" s="111" t="str">
        <f>IF(C96&gt;5,"",IF(C95=1,"",IF(C96=1,"Одна ",IF(C96=2,"Две ",IF(C96=3,"Три ",IF(C96=4,"Четыре ",IF(C96=5,"Пять ",IF(C96=0,""))))))))</f>
        <v/>
      </c>
      <c r="E96" s="111" t="str">
        <f>IF(C96&lt;5,"",IF(C95=1,"",IF(C96=6,"Шесть ",IF(C96=7,"Семь ",IF(C96=8,"Восемь ",IF(C96=9,"Девять ",IF(C96=0,"",IF(C96=5,""))))))))</f>
        <v/>
      </c>
      <c r="F96" s="111" t="str">
        <f>IF(C96=0,"",IF(AND(C96=1,C95=1),"тысяч ",IF(C96=1,"тысяча ",IF(C95=1,"тысяч ",IF(AND(C96&gt;1,C96&lt;5),"тысячи ","тысяч ")))))</f>
        <v/>
      </c>
      <c r="G96" s="112"/>
      <c r="H96" s="112"/>
      <c r="I96" s="113"/>
    </row>
    <row r="97" spans="1:11" s="114" customFormat="1" ht="12.75" hidden="1" customHeight="1" outlineLevel="1" x14ac:dyDescent="0.2">
      <c r="B97" s="238"/>
      <c r="C97" s="110">
        <f>FLOOR((A93-(C93*1000000)-(C94*100000)-(C95*10000)-(C96*1000))/100,1)</f>
        <v>0</v>
      </c>
      <c r="D97" s="111" t="str">
        <f>IF(C97&gt;5,"",IF(C97=1,"Сто ",IF(C97=2,"Двести ",IF(C97=3,"Триста ",IF(C97=4,"Четыреста ",IF(C97=5,"Пятьсот ",IF(C97=0,"")))))))</f>
        <v/>
      </c>
      <c r="E97" s="111" t="str">
        <f>IF(C97&lt;5,"",IF(C97=6,"Шестьсот ",IF(C97=7,"Семьсот ",IF(C97=8,"Восемьсот ",IF(C97=9,"Девятьсот ",IF(C97=0,"",IF(C97=5,"")))))))</f>
        <v/>
      </c>
      <c r="F97" s="112"/>
      <c r="G97" s="112"/>
      <c r="H97" s="112"/>
      <c r="I97" s="113"/>
    </row>
    <row r="98" spans="1:11" s="114" customFormat="1" ht="12.75" hidden="1" customHeight="1" outlineLevel="1" x14ac:dyDescent="0.2">
      <c r="B98" s="238"/>
      <c r="C98" s="110">
        <f>FLOOR((A93-(C93*1000000)-(C94*100000)-(C95*10000)-(C96*1000)-(C97*100))/10,1)</f>
        <v>0</v>
      </c>
      <c r="D98" s="111" t="str">
        <f>IF(C98&gt;5,"",IF(C98=1,"",IF(C98=2,"Двадцать ",IF(C98=3,"Тридцать ",IF(C98=4,"Сорок ",IF(C98=5,"Пятьдесят ",IF(C98=0,"")))))))</f>
        <v/>
      </c>
      <c r="E98" s="111" t="str">
        <f>IF(C98&lt;5,"",IF(C98=6,"Шестьдесят ",IF(C98=7,"Семьдесят ",IF(C98=8,"Восемьдесят ",IF(C98=9,"Девяносто ",IF(C98=0,"",IF(C98=5,"")))))))</f>
        <v/>
      </c>
      <c r="F98" s="112"/>
      <c r="G98" s="111" t="str">
        <f>IF(C98&lt;&gt;1,"",IF(C99=1,"Одиннадцать ",IF(C99=2,"Двенадцать ",IF(C99=3,"Тринадцать ",IF(C99=4,"Четырнадцать ",IF(C99=5,"Пятнадцать ",IF(C99=6,"Шестнадцать ",IF(C99=7,"Семнадцать ",""))))))))</f>
        <v/>
      </c>
      <c r="H98" s="111" t="str">
        <f>IF(C98&lt;&gt;1,"",IF(C99=0,"Десять ",IF(C99=8,"Восемнадцать ",IF(C99=9,"Девятнадцать ",""))))</f>
        <v/>
      </c>
      <c r="I98" s="113"/>
    </row>
    <row r="99" spans="1:11" s="114" customFormat="1" ht="12.75" hidden="1" customHeight="1" outlineLevel="1" x14ac:dyDescent="0.2">
      <c r="B99" s="238"/>
      <c r="C99" s="110">
        <f>FLOOR((A93-(C93*1000000)-(C94*100000)-(C95*10000)-(C96*1000)-(C97*100)-(C98*10)),1)</f>
        <v>0</v>
      </c>
      <c r="D99" s="111" t="str">
        <f>IF(C99&gt;5,"",IF(C98=1,"",IF(C99=1,"Один ",IF(C99=2,"Два ",IF(C99=3,"Три ",IF(C99=4,"Четыре ",IF(C99=5,"Пять ",IF(C99=0," "))))))))</f>
        <v xml:space="preserve"> </v>
      </c>
      <c r="E99" s="111" t="str">
        <f>IF(C99&lt;5,"",IF(C98=1,"",IF(C99=6,"Шесть ",IF(C99=7,"Семь ",IF(C99=8,"Восемь ",IF(C99=9,"Девять ",IF(C99=0,"",IF(C99=5,""))))))))</f>
        <v/>
      </c>
      <c r="F99" s="112"/>
      <c r="G99" s="112"/>
      <c r="H99" s="112"/>
      <c r="I99" s="111" t="str">
        <f>IF(C98=1,"рублей",IF(C99=0,"рублей",IF(C99=1,"рубль",IF(AND(C99&gt;1,C99&lt;5),"рубля","рублей"))))</f>
        <v>рублей</v>
      </c>
    </row>
    <row r="100" spans="1:11" s="114" customFormat="1" ht="12.75" hidden="1" customHeight="1" outlineLevel="1" x14ac:dyDescent="0.2">
      <c r="A100" s="116" t="str">
        <f>REPLACE(LOWER(CONCATENATE(D93,E93,F93,D94,E94,F94,D95,E95,F95,G95,H95,D96,E96,F96,G96,H96,D97,E97,F97,D98,E98,F98,G98,H98,D99,E99,F99,G99,H99,I99)),1,1,LEFT(CONCATENATE(D93,E93,F93,D94,E94,F94,D95,E95,F95,G95,H95,D96,E96,F96,G96,H96,D97,E97,F97,D98,E98,F98,G98,H98,D99,E99,F99,G99,H99,I99),1))</f>
        <v xml:space="preserve"> рублей</v>
      </c>
      <c r="B100" s="117"/>
      <c r="C100" s="116"/>
      <c r="D100" s="116"/>
      <c r="E100" s="116"/>
      <c r="F100" s="116"/>
      <c r="G100" s="116"/>
      <c r="H100" s="116"/>
      <c r="I100" s="118"/>
      <c r="J100" s="117"/>
      <c r="K100" s="117"/>
    </row>
    <row r="101" spans="1:11" s="114" customFormat="1" ht="12.75" hidden="1" customHeight="1" outlineLevel="1" x14ac:dyDescent="0.2">
      <c r="C101" s="110">
        <f>ROUND((A103-INT(A103))*100,0)</f>
        <v>0</v>
      </c>
      <c r="D101" s="119" t="str">
        <f>IF(C101&lt;10,CONCATENATE(0,C101),C101)</f>
        <v>00</v>
      </c>
      <c r="E101" s="111">
        <f>C101-(FLOOR(C101/10,1)*10)</f>
        <v>0</v>
      </c>
      <c r="F101" s="111" t="s">
        <v>45</v>
      </c>
      <c r="G101" s="112"/>
      <c r="H101" s="112"/>
      <c r="I101" s="120"/>
    </row>
    <row r="102" spans="1:11" s="114" customFormat="1" ht="12.75" hidden="1" customHeight="1" outlineLevel="1" x14ac:dyDescent="0.2">
      <c r="A102" s="116" t="str">
        <f>CONCATENATE(D101,F101)</f>
        <v>00 коп.</v>
      </c>
      <c r="B102" s="117"/>
      <c r="C102" s="112"/>
      <c r="D102" s="121"/>
      <c r="E102" s="112"/>
      <c r="F102" s="112"/>
      <c r="G102" s="112"/>
      <c r="H102" s="112"/>
      <c r="I102" s="113"/>
    </row>
    <row r="103" spans="1:11" s="114" customFormat="1" ht="12.75" hidden="1" customHeight="1" outlineLevel="1" x14ac:dyDescent="0.2">
      <c r="A103" s="239">
        <f>A104-INT(A104)</f>
        <v>0</v>
      </c>
      <c r="B103" s="239"/>
      <c r="C103" s="123"/>
      <c r="D103" s="113"/>
      <c r="E103" s="113"/>
      <c r="F103" s="113"/>
      <c r="G103" s="113"/>
      <c r="H103" s="113"/>
      <c r="I103" s="113"/>
    </row>
    <row r="104" spans="1:11" s="114" customFormat="1" ht="12.75" hidden="1" customHeight="1" outlineLevel="1" x14ac:dyDescent="0.2">
      <c r="A104" s="422">
        <f>G85</f>
        <v>0</v>
      </c>
      <c r="B104" s="422"/>
      <c r="C104" s="113"/>
      <c r="D104" s="113"/>
      <c r="E104" s="113"/>
      <c r="F104" s="113"/>
      <c r="G104" s="113"/>
      <c r="H104" s="113"/>
      <c r="I104" s="113"/>
    </row>
    <row r="105" spans="1:11" ht="15.2" hidden="1" customHeight="1" outlineLevel="1" x14ac:dyDescent="0.2"/>
    <row r="106" spans="1:11" ht="15.2" hidden="1" customHeight="1" outlineLevel="1" x14ac:dyDescent="0.2"/>
    <row r="107" spans="1:11" ht="15.2" customHeight="1" collapsed="1" x14ac:dyDescent="0.2"/>
    <row r="108" spans="1:11" ht="15.2" customHeight="1" x14ac:dyDescent="0.2"/>
    <row r="109" spans="1:11" ht="15.2" customHeight="1" x14ac:dyDescent="0.2">
      <c r="J109" s="68"/>
    </row>
    <row r="110" spans="1:11" ht="15.2" customHeight="1" x14ac:dyDescent="0.2">
      <c r="J110" s="68"/>
    </row>
    <row r="111" spans="1:11" ht="15.2" customHeight="1" x14ac:dyDescent="0.2">
      <c r="J111" s="68"/>
    </row>
    <row r="112" spans="1:11" ht="15.2" customHeight="1" x14ac:dyDescent="0.2">
      <c r="J112" s="68"/>
    </row>
    <row r="113" spans="10:10" ht="15.2" customHeight="1" x14ac:dyDescent="0.2">
      <c r="J113" s="68"/>
    </row>
    <row r="114" spans="10:10" ht="15.2" customHeight="1" x14ac:dyDescent="0.2">
      <c r="J114" s="68"/>
    </row>
    <row r="115" spans="10:10" ht="15.2" customHeight="1" x14ac:dyDescent="0.2">
      <c r="J115" s="68"/>
    </row>
    <row r="116" spans="10:10" ht="15.2" customHeight="1" x14ac:dyDescent="0.2">
      <c r="J116" s="68"/>
    </row>
    <row r="117" spans="10:10" ht="15.2" customHeight="1" x14ac:dyDescent="0.2">
      <c r="J117" s="68"/>
    </row>
    <row r="118" spans="10:10" ht="15.2" customHeight="1" x14ac:dyDescent="0.2">
      <c r="J118" s="68"/>
    </row>
    <row r="119" spans="10:10" ht="15.2" customHeight="1" x14ac:dyDescent="0.2">
      <c r="J119" s="68"/>
    </row>
    <row r="120" spans="10:10" ht="15.2" customHeight="1" x14ac:dyDescent="0.2">
      <c r="J120" s="68"/>
    </row>
    <row r="121" spans="10:10" ht="15.2" customHeight="1" x14ac:dyDescent="0.2">
      <c r="J121" s="68"/>
    </row>
    <row r="122" spans="10:10" ht="15.2" customHeight="1" x14ac:dyDescent="0.2">
      <c r="J122" s="68"/>
    </row>
    <row r="123" spans="10:10" ht="15.2" customHeight="1" x14ac:dyDescent="0.2">
      <c r="J123" s="68"/>
    </row>
    <row r="124" spans="10:10" ht="15.2" customHeight="1" x14ac:dyDescent="0.2">
      <c r="J124" s="68"/>
    </row>
    <row r="125" spans="10:10" ht="15.2" customHeight="1" x14ac:dyDescent="0.2">
      <c r="J125" s="68"/>
    </row>
    <row r="126" spans="10:10" ht="15.2" customHeight="1" x14ac:dyDescent="0.2">
      <c r="J126" s="68"/>
    </row>
    <row r="127" spans="10:10" ht="15.2" customHeight="1" x14ac:dyDescent="0.2">
      <c r="J127" s="68"/>
    </row>
    <row r="128" spans="10:10" ht="15.2" customHeight="1" x14ac:dyDescent="0.2">
      <c r="J128" s="68"/>
    </row>
    <row r="129" spans="1:10" ht="15.2" customHeight="1" x14ac:dyDescent="0.2">
      <c r="J129" s="68"/>
    </row>
    <row r="130" spans="1:10" ht="15.2" customHeight="1" x14ac:dyDescent="0.2">
      <c r="J130" s="68"/>
    </row>
    <row r="131" spans="1:10" ht="15.2" customHeight="1" x14ac:dyDescent="0.2">
      <c r="J131" s="68"/>
    </row>
    <row r="132" spans="1:10" ht="15.2" customHeight="1" x14ac:dyDescent="0.2">
      <c r="J132" s="68"/>
    </row>
    <row r="133" spans="1:10" ht="15.2" customHeight="1" x14ac:dyDescent="0.2">
      <c r="J133" s="68"/>
    </row>
    <row r="134" spans="1:10" ht="15.2" customHeight="1" x14ac:dyDescent="0.2">
      <c r="J134" s="68"/>
    </row>
    <row r="135" spans="1:10" ht="15.2" customHeight="1" x14ac:dyDescent="0.2">
      <c r="J135" s="68"/>
    </row>
    <row r="136" spans="1:10" ht="15.2" customHeight="1" x14ac:dyDescent="0.2">
      <c r="J136" s="68"/>
    </row>
    <row r="137" spans="1:10" ht="15.2" hidden="1" customHeight="1" x14ac:dyDescent="0.25">
      <c r="A137" s="425" t="s">
        <v>46</v>
      </c>
      <c r="B137" s="425"/>
      <c r="J137" s="68"/>
    </row>
    <row r="138" spans="1:10" ht="15.2" hidden="1" customHeight="1" x14ac:dyDescent="0.2">
      <c r="J138" s="68"/>
    </row>
    <row r="139" spans="1:10" ht="21.95" hidden="1" customHeight="1" x14ac:dyDescent="0.2">
      <c r="A139" s="124">
        <v>1</v>
      </c>
      <c r="B139" s="413" t="s">
        <v>47</v>
      </c>
      <c r="C139" s="413"/>
      <c r="D139" s="413"/>
      <c r="E139" s="413"/>
      <c r="F139" s="413"/>
      <c r="J139" s="68"/>
    </row>
    <row r="140" spans="1:10" ht="21.95" hidden="1" customHeight="1" x14ac:dyDescent="0.2">
      <c r="A140" s="124">
        <v>2</v>
      </c>
      <c r="B140" s="413" t="s">
        <v>48</v>
      </c>
      <c r="C140" s="413"/>
      <c r="D140" s="413"/>
      <c r="E140" s="413"/>
      <c r="F140" s="413"/>
      <c r="J140" s="68"/>
    </row>
    <row r="141" spans="1:10" ht="21.95" hidden="1" customHeight="1" x14ac:dyDescent="0.2">
      <c r="A141" s="124">
        <v>3</v>
      </c>
      <c r="B141" s="413" t="s">
        <v>49</v>
      </c>
      <c r="C141" s="413"/>
      <c r="D141" s="413"/>
      <c r="E141" s="413"/>
      <c r="F141" s="413"/>
      <c r="J141" s="68"/>
    </row>
    <row r="142" spans="1:10" ht="21.95" hidden="1" customHeight="1" x14ac:dyDescent="0.2">
      <c r="A142" s="124">
        <v>4</v>
      </c>
      <c r="B142" s="413" t="s">
        <v>50</v>
      </c>
      <c r="C142" s="413"/>
      <c r="D142" s="413"/>
      <c r="E142" s="413"/>
      <c r="F142" s="413"/>
      <c r="J142" s="68"/>
    </row>
    <row r="143" spans="1:10" ht="21.95" hidden="1" customHeight="1" x14ac:dyDescent="0.2">
      <c r="A143" s="124">
        <v>5</v>
      </c>
      <c r="B143" s="413" t="s">
        <v>51</v>
      </c>
      <c r="C143" s="413"/>
      <c r="D143" s="413"/>
      <c r="E143" s="413"/>
      <c r="F143" s="413"/>
      <c r="J143" s="68"/>
    </row>
    <row r="144" spans="1:10" ht="21.95" hidden="1" customHeight="1" x14ac:dyDescent="0.2">
      <c r="A144" s="124">
        <v>6</v>
      </c>
      <c r="B144" s="413" t="s">
        <v>52</v>
      </c>
      <c r="C144" s="413"/>
      <c r="D144" s="413"/>
      <c r="E144" s="413"/>
      <c r="F144" s="413"/>
      <c r="J144" s="68"/>
    </row>
    <row r="145" spans="1:10" ht="21.95" hidden="1" customHeight="1" x14ac:dyDescent="0.2">
      <c r="A145" s="124">
        <v>7</v>
      </c>
      <c r="B145" s="413" t="s">
        <v>53</v>
      </c>
      <c r="C145" s="413"/>
      <c r="D145" s="413"/>
      <c r="E145" s="413"/>
      <c r="F145" s="413"/>
      <c r="J145" s="68"/>
    </row>
    <row r="146" spans="1:10" ht="21.95" hidden="1" customHeight="1" x14ac:dyDescent="0.25">
      <c r="A146" s="125"/>
      <c r="B146" s="237" t="s">
        <v>3</v>
      </c>
      <c r="C146" s="98"/>
      <c r="D146" s="98"/>
      <c r="E146" s="98"/>
      <c r="F146" s="98"/>
      <c r="J146" s="68"/>
    </row>
    <row r="147" spans="1:10" ht="21.95" hidden="1" customHeight="1" x14ac:dyDescent="0.2">
      <c r="A147" s="244" t="s">
        <v>54</v>
      </c>
      <c r="B147" s="244"/>
      <c r="C147" s="244"/>
      <c r="D147" s="244"/>
      <c r="E147" s="244"/>
      <c r="F147" s="244"/>
      <c r="J147" s="68"/>
    </row>
    <row r="148" spans="1:10" ht="21.95" hidden="1" customHeight="1" x14ac:dyDescent="0.2">
      <c r="A148" s="244" t="s">
        <v>55</v>
      </c>
      <c r="B148" s="244"/>
      <c r="C148" s="244"/>
      <c r="D148" s="244"/>
      <c r="E148" s="244"/>
      <c r="F148" s="244"/>
      <c r="J148" s="68"/>
    </row>
    <row r="149" spans="1:10" ht="21.95" hidden="1" customHeight="1" x14ac:dyDescent="0.2">
      <c r="A149" s="244"/>
      <c r="B149" s="244"/>
      <c r="C149" s="244"/>
      <c r="D149" s="244"/>
      <c r="E149" s="244"/>
      <c r="F149" s="244"/>
      <c r="J149" s="68"/>
    </row>
    <row r="150" spans="1:10" ht="21.95" hidden="1" customHeight="1" x14ac:dyDescent="0.25">
      <c r="A150" s="244" t="s">
        <v>56</v>
      </c>
      <c r="B150" s="244"/>
      <c r="C150" s="418"/>
      <c r="D150" s="418"/>
      <c r="E150" s="244"/>
      <c r="F150" s="244"/>
      <c r="J150" s="68"/>
    </row>
    <row r="151" spans="1:10" ht="21.95" hidden="1" customHeight="1" x14ac:dyDescent="0.2">
      <c r="A151" s="56"/>
      <c r="B151" s="109" t="s">
        <v>18</v>
      </c>
      <c r="C151" s="60" t="s">
        <v>19</v>
      </c>
      <c r="D151" s="56"/>
      <c r="E151" s="56"/>
      <c r="F151" s="56"/>
      <c r="J151" s="68"/>
    </row>
    <row r="152" spans="1:10" ht="21.95" hidden="1" customHeight="1" x14ac:dyDescent="0.2">
      <c r="A152" s="244"/>
      <c r="B152" s="244"/>
      <c r="C152" s="244"/>
      <c r="D152" s="244"/>
      <c r="E152" s="244"/>
      <c r="F152" s="244"/>
      <c r="J152" s="68"/>
    </row>
    <row r="153" spans="1:10" ht="21.95" hidden="1" customHeight="1" x14ac:dyDescent="0.2">
      <c r="A153" s="244"/>
      <c r="B153" s="244"/>
      <c r="C153" s="244"/>
      <c r="D153" s="244"/>
      <c r="E153" s="244"/>
      <c r="F153" s="244"/>
      <c r="J153" s="68"/>
    </row>
    <row r="154" spans="1:10" ht="21.95" hidden="1" customHeight="1" x14ac:dyDescent="0.2">
      <c r="A154" s="419" t="e">
        <f>#REF!</f>
        <v>#REF!</v>
      </c>
      <c r="B154" s="419"/>
      <c r="C154" s="112"/>
      <c r="D154" s="104"/>
      <c r="E154" s="104"/>
      <c r="F154" s="104"/>
      <c r="J154" s="68"/>
    </row>
    <row r="155" spans="1:10" ht="21.95" hidden="1" customHeight="1" x14ac:dyDescent="0.2">
      <c r="A155" s="104"/>
      <c r="B155" s="420"/>
      <c r="C155" s="112"/>
      <c r="D155" s="104"/>
      <c r="E155" s="104"/>
      <c r="F155" s="104"/>
      <c r="J155" s="68"/>
    </row>
    <row r="156" spans="1:10" ht="21.95" hidden="1" customHeight="1" x14ac:dyDescent="0.2">
      <c r="A156" s="104"/>
      <c r="B156" s="420"/>
      <c r="C156" s="112" t="e">
        <f>IF(#REF!&lt;&gt;1,"",IF(#REF!=0,"",IF(#REF!=8,"Восемнадцать ",IF(#REF!=9,"Девятнадцать ",""))))</f>
        <v>#REF!</v>
      </c>
      <c r="D156" s="104"/>
      <c r="E156" s="104"/>
      <c r="F156" s="104"/>
      <c r="J156" s="68"/>
    </row>
    <row r="157" spans="1:10" ht="21.95" hidden="1" customHeight="1" x14ac:dyDescent="0.2">
      <c r="A157" s="104"/>
      <c r="B157" s="420"/>
      <c r="C157" s="112"/>
      <c r="D157" s="104"/>
      <c r="E157" s="104"/>
      <c r="F157" s="104"/>
      <c r="J157" s="68"/>
    </row>
    <row r="158" spans="1:10" ht="21.95" hidden="1" customHeight="1" x14ac:dyDescent="0.2">
      <c r="A158" s="104"/>
      <c r="B158" s="420"/>
      <c r="C158" s="112"/>
      <c r="D158" s="104"/>
      <c r="E158" s="104"/>
      <c r="F158" s="104"/>
      <c r="J158" s="68"/>
    </row>
    <row r="159" spans="1:10" ht="21.95" hidden="1" customHeight="1" x14ac:dyDescent="0.2">
      <c r="A159" s="104"/>
      <c r="B159" s="420"/>
      <c r="C159" s="111" t="e">
        <f>IF(#REF!&lt;&gt;1,"",IF(#REF!=0,"Десять ",IF(#REF!=8,"Восемнадцать ",IF(#REF!=9,"Девятнадцать ",""))))</f>
        <v>#REF!</v>
      </c>
      <c r="D159" s="104"/>
      <c r="E159" s="104"/>
      <c r="F159" s="104"/>
      <c r="J159" s="68"/>
    </row>
    <row r="160" spans="1:10" ht="21.95" hidden="1" customHeight="1" x14ac:dyDescent="0.2">
      <c r="A160" s="104"/>
      <c r="B160" s="420"/>
      <c r="C160" s="112"/>
      <c r="D160" s="104"/>
      <c r="E160" s="104"/>
      <c r="F160" s="104"/>
      <c r="J160" s="68"/>
    </row>
    <row r="161" spans="1:10" ht="21.95" hidden="1" customHeight="1" x14ac:dyDescent="0.2">
      <c r="A161" s="116" t="e">
        <f>REPLACE(LOWER(CONCATENATE(#REF!,#REF!,#REF!,#REF!,#REF!,#REF!,#REF!,#REF!,#REF!,#REF!,C156,#REF!,#REF!,#REF!,#REF!,C157,#REF!,#REF!,#REF!,#REF!,#REF!,#REF!,#REF!,C159,#REF!,#REF!,#REF!,#REF!,C160,#REF!)),1,1,LEFT(CONCATENATE(#REF!,#REF!,#REF!,#REF!,#REF!,#REF!,#REF!,#REF!,#REF!,#REF!,C156,#REF!,#REF!,#REF!,#REF!,C157,#REF!,#REF!,#REF!,#REF!,#REF!,#REF!,#REF!,C159,#REF!,#REF!,#REF!,#REF!,C160,#REF!),1))</f>
        <v>#REF!</v>
      </c>
      <c r="B161" s="116"/>
      <c r="C161" s="116"/>
      <c r="D161" s="116"/>
      <c r="E161" s="104"/>
      <c r="F161" s="104"/>
      <c r="J161" s="68"/>
    </row>
    <row r="162" spans="1:10" ht="21.95" hidden="1" customHeight="1" x14ac:dyDescent="0.2">
      <c r="A162" s="104"/>
      <c r="B162" s="104"/>
      <c r="C162" s="112"/>
      <c r="D162" s="104"/>
      <c r="E162" s="104"/>
      <c r="F162" s="104"/>
      <c r="J162" s="68"/>
    </row>
    <row r="163" spans="1:10" ht="21.95" hidden="1" customHeight="1" x14ac:dyDescent="0.2">
      <c r="A163" s="116" t="e">
        <f>CONCATENATE(#REF!,#REF!)</f>
        <v>#REF!</v>
      </c>
      <c r="B163" s="116"/>
      <c r="C163" s="112"/>
      <c r="D163" s="104"/>
      <c r="E163" s="104"/>
      <c r="F163" s="104"/>
      <c r="J163" s="68"/>
    </row>
    <row r="164" spans="1:10" ht="21.95" hidden="1" customHeight="1" x14ac:dyDescent="0.2">
      <c r="A164" s="421" t="e">
        <f>A165-INT(A165)</f>
        <v>#REF!</v>
      </c>
      <c r="B164" s="421"/>
      <c r="C164" s="112"/>
      <c r="D164" s="104"/>
      <c r="E164" s="104"/>
      <c r="F164" s="104"/>
      <c r="J164" s="68"/>
    </row>
    <row r="165" spans="1:10" ht="21.95" hidden="1" customHeight="1" x14ac:dyDescent="0.2">
      <c r="A165" s="417" t="e">
        <f>#REF!</f>
        <v>#REF!</v>
      </c>
      <c r="B165" s="417"/>
      <c r="C165" s="112"/>
      <c r="D165" s="104"/>
      <c r="E165" s="104"/>
      <c r="F165" s="104"/>
      <c r="J165" s="68"/>
    </row>
    <row r="166" spans="1:10" ht="21.95" customHeight="1" collapsed="1" x14ac:dyDescent="0.2">
      <c r="A166" s="244"/>
      <c r="B166" s="244"/>
      <c r="C166" s="244"/>
      <c r="D166" s="244"/>
      <c r="E166" s="244"/>
      <c r="F166" s="244"/>
      <c r="J166" s="68"/>
    </row>
  </sheetData>
  <mergeCells count="151">
    <mergeCell ref="B145:F145"/>
    <mergeCell ref="C150:D150"/>
    <mergeCell ref="A154:B154"/>
    <mergeCell ref="B155:B160"/>
    <mergeCell ref="A164:B164"/>
    <mergeCell ref="A165:B165"/>
    <mergeCell ref="B139:F139"/>
    <mergeCell ref="B140:F140"/>
    <mergeCell ref="B141:F141"/>
    <mergeCell ref="B142:F142"/>
    <mergeCell ref="B143:F143"/>
    <mergeCell ref="B144:F144"/>
    <mergeCell ref="B85:E85"/>
    <mergeCell ref="G85:I85"/>
    <mergeCell ref="C91:D91"/>
    <mergeCell ref="A93:B93"/>
    <mergeCell ref="A104:B104"/>
    <mergeCell ref="A137:B137"/>
    <mergeCell ref="B82:E82"/>
    <mergeCell ref="G82:I82"/>
    <mergeCell ref="B83:E83"/>
    <mergeCell ref="G83:I83"/>
    <mergeCell ref="B84:E84"/>
    <mergeCell ref="G84:I84"/>
    <mergeCell ref="B79:E79"/>
    <mergeCell ref="G79:I79"/>
    <mergeCell ref="B80:E80"/>
    <mergeCell ref="G80:I80"/>
    <mergeCell ref="B81:E81"/>
    <mergeCell ref="G81:I81"/>
    <mergeCell ref="B77:E77"/>
    <mergeCell ref="G77:I77"/>
    <mergeCell ref="B78:E78"/>
    <mergeCell ref="G78:I78"/>
    <mergeCell ref="B74:E74"/>
    <mergeCell ref="G74:I74"/>
    <mergeCell ref="B75:E75"/>
    <mergeCell ref="G75:I75"/>
    <mergeCell ref="B76:E76"/>
    <mergeCell ref="G76:I76"/>
    <mergeCell ref="B71:E71"/>
    <mergeCell ref="G71:I71"/>
    <mergeCell ref="B72:E72"/>
    <mergeCell ref="G72:I72"/>
    <mergeCell ref="B73:E73"/>
    <mergeCell ref="G73:I73"/>
    <mergeCell ref="B68:E68"/>
    <mergeCell ref="G68:I68"/>
    <mergeCell ref="B69:E69"/>
    <mergeCell ref="G69:I69"/>
    <mergeCell ref="B70:E70"/>
    <mergeCell ref="G70:I70"/>
    <mergeCell ref="B65:E65"/>
    <mergeCell ref="G65:I65"/>
    <mergeCell ref="B66:E66"/>
    <mergeCell ref="G66:I66"/>
    <mergeCell ref="B67:E67"/>
    <mergeCell ref="G67:I67"/>
    <mergeCell ref="B62:E62"/>
    <mergeCell ref="G62:I62"/>
    <mergeCell ref="B63:E63"/>
    <mergeCell ref="G63:I63"/>
    <mergeCell ref="B64:E64"/>
    <mergeCell ref="G64:I64"/>
    <mergeCell ref="B59:E59"/>
    <mergeCell ref="G59:I59"/>
    <mergeCell ref="B60:E60"/>
    <mergeCell ref="G60:I60"/>
    <mergeCell ref="B61:E61"/>
    <mergeCell ref="G61:I61"/>
    <mergeCell ref="B56:E56"/>
    <mergeCell ref="G56:I56"/>
    <mergeCell ref="B57:E57"/>
    <mergeCell ref="G57:I57"/>
    <mergeCell ref="B58:E58"/>
    <mergeCell ref="G58:I58"/>
    <mergeCell ref="B53:E53"/>
    <mergeCell ref="G53:I53"/>
    <mergeCell ref="B54:E54"/>
    <mergeCell ref="G54:I54"/>
    <mergeCell ref="B55:E55"/>
    <mergeCell ref="G55:I55"/>
    <mergeCell ref="B50:E50"/>
    <mergeCell ref="G50:I50"/>
    <mergeCell ref="B51:E51"/>
    <mergeCell ref="G51:I51"/>
    <mergeCell ref="B52:E52"/>
    <mergeCell ref="G52:I52"/>
    <mergeCell ref="B47:E47"/>
    <mergeCell ref="G47:I47"/>
    <mergeCell ref="B48:E48"/>
    <mergeCell ref="G48:I48"/>
    <mergeCell ref="B49:E49"/>
    <mergeCell ref="G49:I49"/>
    <mergeCell ref="B44:E44"/>
    <mergeCell ref="G44:I44"/>
    <mergeCell ref="B45:E45"/>
    <mergeCell ref="G45:I45"/>
    <mergeCell ref="B46:E46"/>
    <mergeCell ref="G46:I46"/>
    <mergeCell ref="B41:E41"/>
    <mergeCell ref="G41:I41"/>
    <mergeCell ref="B42:E42"/>
    <mergeCell ref="G42:I42"/>
    <mergeCell ref="B43:E43"/>
    <mergeCell ref="G43:I43"/>
    <mergeCell ref="B38:E38"/>
    <mergeCell ref="G38:I38"/>
    <mergeCell ref="B39:E39"/>
    <mergeCell ref="G39:I39"/>
    <mergeCell ref="B40:E40"/>
    <mergeCell ref="G40:I40"/>
    <mergeCell ref="B35:E35"/>
    <mergeCell ref="G35:I35"/>
    <mergeCell ref="B36:E36"/>
    <mergeCell ref="G36:I36"/>
    <mergeCell ref="B37:E37"/>
    <mergeCell ref="G37:I37"/>
    <mergeCell ref="B32:E32"/>
    <mergeCell ref="G32:I32"/>
    <mergeCell ref="B33:E33"/>
    <mergeCell ref="G33:I33"/>
    <mergeCell ref="B34:E34"/>
    <mergeCell ref="G34:I34"/>
    <mergeCell ref="B29:E29"/>
    <mergeCell ref="G29:I29"/>
    <mergeCell ref="B30:E30"/>
    <mergeCell ref="G30:I30"/>
    <mergeCell ref="B31:E31"/>
    <mergeCell ref="G31:I31"/>
    <mergeCell ref="B28:E28"/>
    <mergeCell ref="G28:I28"/>
    <mergeCell ref="G23:I23"/>
    <mergeCell ref="G24:I24"/>
    <mergeCell ref="G25:I25"/>
    <mergeCell ref="G22:I22"/>
    <mergeCell ref="B17:E17"/>
    <mergeCell ref="G17:I17"/>
    <mergeCell ref="G18:I18"/>
    <mergeCell ref="G19:I19"/>
    <mergeCell ref="G26:I26"/>
    <mergeCell ref="B7:G7"/>
    <mergeCell ref="C8:F8"/>
    <mergeCell ref="A9:B9"/>
    <mergeCell ref="C10:G10"/>
    <mergeCell ref="B16:E16"/>
    <mergeCell ref="G16:I16"/>
    <mergeCell ref="G20:I20"/>
    <mergeCell ref="G21:I21"/>
    <mergeCell ref="B27:E27"/>
    <mergeCell ref="G27:I27"/>
  </mergeCells>
  <pageMargins left="0.7" right="0.7" top="0.75" bottom="0.75" header="0.3" footer="0.3"/>
  <pageSetup paperSize="9" scale="87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7030A0"/>
    <pageSetUpPr fitToPage="1"/>
  </sheetPr>
  <dimension ref="A1:AY84"/>
  <sheetViews>
    <sheetView topLeftCell="A22" workbookViewId="0">
      <selection activeCell="A48" sqref="A48:XFD49"/>
    </sheetView>
  </sheetViews>
  <sheetFormatPr defaultRowHeight="12.75" outlineLevelRow="2" outlineLevelCol="1" x14ac:dyDescent="0.2"/>
  <cols>
    <col min="1" max="1" width="3.7109375" style="20" customWidth="1"/>
    <col min="2" max="2" width="38" style="243" customWidth="1"/>
    <col min="3" max="3" width="11.7109375" style="243" customWidth="1"/>
    <col min="4" max="4" width="11.5703125" style="20" customWidth="1"/>
    <col min="5" max="5" width="6" style="243" customWidth="1"/>
    <col min="6" max="10" width="5.7109375" style="243" customWidth="1"/>
    <col min="11" max="11" width="5.7109375" style="252" customWidth="1"/>
    <col min="12" max="17" width="5.7109375" style="243" customWidth="1"/>
    <col min="18" max="18" width="5.7109375" style="252" customWidth="1"/>
    <col min="19" max="21" width="5.7109375" style="243" customWidth="1"/>
    <col min="22" max="22" width="6" style="243" customWidth="1"/>
    <col min="23" max="24" width="5.7109375" style="243" customWidth="1"/>
    <col min="25" max="25" width="5.7109375" style="252" customWidth="1"/>
    <col min="26" max="31" width="5.7109375" style="243" customWidth="1"/>
    <col min="32" max="32" width="5.7109375" style="252" customWidth="1"/>
    <col min="33" max="33" width="5.7109375" style="243" customWidth="1"/>
    <col min="34" max="34" width="5.7109375" style="252" customWidth="1"/>
    <col min="35" max="35" width="5.7109375" style="243" customWidth="1" outlineLevel="1"/>
    <col min="36" max="37" width="5.7109375" style="13" hidden="1" customWidth="1" outlineLevel="1"/>
    <col min="38" max="42" width="5.85546875" style="13" hidden="1" customWidth="1" outlineLevel="1"/>
    <col min="43" max="43" width="5" style="13" hidden="1" customWidth="1" outlineLevel="1"/>
    <col min="44" max="44" width="5.85546875" style="13" hidden="1" customWidth="1" outlineLevel="1"/>
    <col min="45" max="45" width="11.42578125" style="46" customWidth="1" collapsed="1"/>
    <col min="46" max="46" width="9.42578125" style="20" customWidth="1"/>
    <col min="47" max="47" width="11.5703125" style="243" bestFit="1" customWidth="1"/>
    <col min="48" max="48" width="0" hidden="1" customWidth="1" outlineLevel="1"/>
    <col min="49" max="49" width="0" style="243" hidden="1" customWidth="1" outlineLevel="1"/>
    <col min="50" max="50" width="5" style="134" hidden="1" customWidth="1" outlineLevel="1"/>
    <col min="51" max="51" width="9.140625" style="243" collapsed="1"/>
    <col min="52" max="266" width="9.140625" style="243"/>
    <col min="267" max="267" width="3.7109375" style="243" customWidth="1"/>
    <col min="268" max="268" width="34.42578125" style="243" customWidth="1"/>
    <col min="269" max="269" width="11.5703125" style="243" customWidth="1"/>
    <col min="270" max="270" width="11.7109375" style="243" customWidth="1"/>
    <col min="271" max="297" width="8.42578125" style="243" customWidth="1"/>
    <col min="298" max="298" width="11.42578125" style="243" customWidth="1"/>
    <col min="299" max="299" width="9.42578125" style="243" customWidth="1"/>
    <col min="300" max="300" width="11.5703125" style="243" bestFit="1" customWidth="1"/>
    <col min="301" max="301" width="9.28515625" style="243" bestFit="1" customWidth="1"/>
    <col min="302" max="522" width="9.140625" style="243"/>
    <col min="523" max="523" width="3.7109375" style="243" customWidth="1"/>
    <col min="524" max="524" width="34.42578125" style="243" customWidth="1"/>
    <col min="525" max="525" width="11.5703125" style="243" customWidth="1"/>
    <col min="526" max="526" width="11.7109375" style="243" customWidth="1"/>
    <col min="527" max="553" width="8.42578125" style="243" customWidth="1"/>
    <col min="554" max="554" width="11.42578125" style="243" customWidth="1"/>
    <col min="555" max="555" width="9.42578125" style="243" customWidth="1"/>
    <col min="556" max="556" width="11.5703125" style="243" bestFit="1" customWidth="1"/>
    <col min="557" max="557" width="9.28515625" style="243" bestFit="1" customWidth="1"/>
    <col min="558" max="778" width="9.140625" style="243"/>
    <col min="779" max="779" width="3.7109375" style="243" customWidth="1"/>
    <col min="780" max="780" width="34.42578125" style="243" customWidth="1"/>
    <col min="781" max="781" width="11.5703125" style="243" customWidth="1"/>
    <col min="782" max="782" width="11.7109375" style="243" customWidth="1"/>
    <col min="783" max="809" width="8.42578125" style="243" customWidth="1"/>
    <col min="810" max="810" width="11.42578125" style="243" customWidth="1"/>
    <col min="811" max="811" width="9.42578125" style="243" customWidth="1"/>
    <col min="812" max="812" width="11.5703125" style="243" bestFit="1" customWidth="1"/>
    <col min="813" max="813" width="9.28515625" style="243" bestFit="1" customWidth="1"/>
    <col min="814" max="1034" width="9.140625" style="243"/>
    <col min="1035" max="1035" width="3.7109375" style="243" customWidth="1"/>
    <col min="1036" max="1036" width="34.42578125" style="243" customWidth="1"/>
    <col min="1037" max="1037" width="11.5703125" style="243" customWidth="1"/>
    <col min="1038" max="1038" width="11.7109375" style="243" customWidth="1"/>
    <col min="1039" max="1065" width="8.42578125" style="243" customWidth="1"/>
    <col min="1066" max="1066" width="11.42578125" style="243" customWidth="1"/>
    <col min="1067" max="1067" width="9.42578125" style="243" customWidth="1"/>
    <col min="1068" max="1068" width="11.5703125" style="243" bestFit="1" customWidth="1"/>
    <col min="1069" max="1069" width="9.28515625" style="243" bestFit="1" customWidth="1"/>
    <col min="1070" max="1290" width="9.140625" style="243"/>
    <col min="1291" max="1291" width="3.7109375" style="243" customWidth="1"/>
    <col min="1292" max="1292" width="34.42578125" style="243" customWidth="1"/>
    <col min="1293" max="1293" width="11.5703125" style="243" customWidth="1"/>
    <col min="1294" max="1294" width="11.7109375" style="243" customWidth="1"/>
    <col min="1295" max="1321" width="8.42578125" style="243" customWidth="1"/>
    <col min="1322" max="1322" width="11.42578125" style="243" customWidth="1"/>
    <col min="1323" max="1323" width="9.42578125" style="243" customWidth="1"/>
    <col min="1324" max="1324" width="11.5703125" style="243" bestFit="1" customWidth="1"/>
    <col min="1325" max="1325" width="9.28515625" style="243" bestFit="1" customWidth="1"/>
    <col min="1326" max="1546" width="9.140625" style="243"/>
    <col min="1547" max="1547" width="3.7109375" style="243" customWidth="1"/>
    <col min="1548" max="1548" width="34.42578125" style="243" customWidth="1"/>
    <col min="1549" max="1549" width="11.5703125" style="243" customWidth="1"/>
    <col min="1550" max="1550" width="11.7109375" style="243" customWidth="1"/>
    <col min="1551" max="1577" width="8.42578125" style="243" customWidth="1"/>
    <col min="1578" max="1578" width="11.42578125" style="243" customWidth="1"/>
    <col min="1579" max="1579" width="9.42578125" style="243" customWidth="1"/>
    <col min="1580" max="1580" width="11.5703125" style="243" bestFit="1" customWidth="1"/>
    <col min="1581" max="1581" width="9.28515625" style="243" bestFit="1" customWidth="1"/>
    <col min="1582" max="1802" width="9.140625" style="243"/>
    <col min="1803" max="1803" width="3.7109375" style="243" customWidth="1"/>
    <col min="1804" max="1804" width="34.42578125" style="243" customWidth="1"/>
    <col min="1805" max="1805" width="11.5703125" style="243" customWidth="1"/>
    <col min="1806" max="1806" width="11.7109375" style="243" customWidth="1"/>
    <col min="1807" max="1833" width="8.42578125" style="243" customWidth="1"/>
    <col min="1834" max="1834" width="11.42578125" style="243" customWidth="1"/>
    <col min="1835" max="1835" width="9.42578125" style="243" customWidth="1"/>
    <col min="1836" max="1836" width="11.5703125" style="243" bestFit="1" customWidth="1"/>
    <col min="1837" max="1837" width="9.28515625" style="243" bestFit="1" customWidth="1"/>
    <col min="1838" max="2058" width="9.140625" style="243"/>
    <col min="2059" max="2059" width="3.7109375" style="243" customWidth="1"/>
    <col min="2060" max="2060" width="34.42578125" style="243" customWidth="1"/>
    <col min="2061" max="2061" width="11.5703125" style="243" customWidth="1"/>
    <col min="2062" max="2062" width="11.7109375" style="243" customWidth="1"/>
    <col min="2063" max="2089" width="8.42578125" style="243" customWidth="1"/>
    <col min="2090" max="2090" width="11.42578125" style="243" customWidth="1"/>
    <col min="2091" max="2091" width="9.42578125" style="243" customWidth="1"/>
    <col min="2092" max="2092" width="11.5703125" style="243" bestFit="1" customWidth="1"/>
    <col min="2093" max="2093" width="9.28515625" style="243" bestFit="1" customWidth="1"/>
    <col min="2094" max="2314" width="9.140625" style="243"/>
    <col min="2315" max="2315" width="3.7109375" style="243" customWidth="1"/>
    <col min="2316" max="2316" width="34.42578125" style="243" customWidth="1"/>
    <col min="2317" max="2317" width="11.5703125" style="243" customWidth="1"/>
    <col min="2318" max="2318" width="11.7109375" style="243" customWidth="1"/>
    <col min="2319" max="2345" width="8.42578125" style="243" customWidth="1"/>
    <col min="2346" max="2346" width="11.42578125" style="243" customWidth="1"/>
    <col min="2347" max="2347" width="9.42578125" style="243" customWidth="1"/>
    <col min="2348" max="2348" width="11.5703125" style="243" bestFit="1" customWidth="1"/>
    <col min="2349" max="2349" width="9.28515625" style="243" bestFit="1" customWidth="1"/>
    <col min="2350" max="2570" width="9.140625" style="243"/>
    <col min="2571" max="2571" width="3.7109375" style="243" customWidth="1"/>
    <col min="2572" max="2572" width="34.42578125" style="243" customWidth="1"/>
    <col min="2573" max="2573" width="11.5703125" style="243" customWidth="1"/>
    <col min="2574" max="2574" width="11.7109375" style="243" customWidth="1"/>
    <col min="2575" max="2601" width="8.42578125" style="243" customWidth="1"/>
    <col min="2602" max="2602" width="11.42578125" style="243" customWidth="1"/>
    <col min="2603" max="2603" width="9.42578125" style="243" customWidth="1"/>
    <col min="2604" max="2604" width="11.5703125" style="243" bestFit="1" customWidth="1"/>
    <col min="2605" max="2605" width="9.28515625" style="243" bestFit="1" customWidth="1"/>
    <col min="2606" max="2826" width="9.140625" style="243"/>
    <col min="2827" max="2827" width="3.7109375" style="243" customWidth="1"/>
    <col min="2828" max="2828" width="34.42578125" style="243" customWidth="1"/>
    <col min="2829" max="2829" width="11.5703125" style="243" customWidth="1"/>
    <col min="2830" max="2830" width="11.7109375" style="243" customWidth="1"/>
    <col min="2831" max="2857" width="8.42578125" style="243" customWidth="1"/>
    <col min="2858" max="2858" width="11.42578125" style="243" customWidth="1"/>
    <col min="2859" max="2859" width="9.42578125" style="243" customWidth="1"/>
    <col min="2860" max="2860" width="11.5703125" style="243" bestFit="1" customWidth="1"/>
    <col min="2861" max="2861" width="9.28515625" style="243" bestFit="1" customWidth="1"/>
    <col min="2862" max="3082" width="9.140625" style="243"/>
    <col min="3083" max="3083" width="3.7109375" style="243" customWidth="1"/>
    <col min="3084" max="3084" width="34.42578125" style="243" customWidth="1"/>
    <col min="3085" max="3085" width="11.5703125" style="243" customWidth="1"/>
    <col min="3086" max="3086" width="11.7109375" style="243" customWidth="1"/>
    <col min="3087" max="3113" width="8.42578125" style="243" customWidth="1"/>
    <col min="3114" max="3114" width="11.42578125" style="243" customWidth="1"/>
    <col min="3115" max="3115" width="9.42578125" style="243" customWidth="1"/>
    <col min="3116" max="3116" width="11.5703125" style="243" bestFit="1" customWidth="1"/>
    <col min="3117" max="3117" width="9.28515625" style="243" bestFit="1" customWidth="1"/>
    <col min="3118" max="3338" width="9.140625" style="243"/>
    <col min="3339" max="3339" width="3.7109375" style="243" customWidth="1"/>
    <col min="3340" max="3340" width="34.42578125" style="243" customWidth="1"/>
    <col min="3341" max="3341" width="11.5703125" style="243" customWidth="1"/>
    <col min="3342" max="3342" width="11.7109375" style="243" customWidth="1"/>
    <col min="3343" max="3369" width="8.42578125" style="243" customWidth="1"/>
    <col min="3370" max="3370" width="11.42578125" style="243" customWidth="1"/>
    <col min="3371" max="3371" width="9.42578125" style="243" customWidth="1"/>
    <col min="3372" max="3372" width="11.5703125" style="243" bestFit="1" customWidth="1"/>
    <col min="3373" max="3373" width="9.28515625" style="243" bestFit="1" customWidth="1"/>
    <col min="3374" max="3594" width="9.140625" style="243"/>
    <col min="3595" max="3595" width="3.7109375" style="243" customWidth="1"/>
    <col min="3596" max="3596" width="34.42578125" style="243" customWidth="1"/>
    <col min="3597" max="3597" width="11.5703125" style="243" customWidth="1"/>
    <col min="3598" max="3598" width="11.7109375" style="243" customWidth="1"/>
    <col min="3599" max="3625" width="8.42578125" style="243" customWidth="1"/>
    <col min="3626" max="3626" width="11.42578125" style="243" customWidth="1"/>
    <col min="3627" max="3627" width="9.42578125" style="243" customWidth="1"/>
    <col min="3628" max="3628" width="11.5703125" style="243" bestFit="1" customWidth="1"/>
    <col min="3629" max="3629" width="9.28515625" style="243" bestFit="1" customWidth="1"/>
    <col min="3630" max="3850" width="9.140625" style="243"/>
    <col min="3851" max="3851" width="3.7109375" style="243" customWidth="1"/>
    <col min="3852" max="3852" width="34.42578125" style="243" customWidth="1"/>
    <col min="3853" max="3853" width="11.5703125" style="243" customWidth="1"/>
    <col min="3854" max="3854" width="11.7109375" style="243" customWidth="1"/>
    <col min="3855" max="3881" width="8.42578125" style="243" customWidth="1"/>
    <col min="3882" max="3882" width="11.42578125" style="243" customWidth="1"/>
    <col min="3883" max="3883" width="9.42578125" style="243" customWidth="1"/>
    <col min="3884" max="3884" width="11.5703125" style="243" bestFit="1" customWidth="1"/>
    <col min="3885" max="3885" width="9.28515625" style="243" bestFit="1" customWidth="1"/>
    <col min="3886" max="4106" width="9.140625" style="243"/>
    <col min="4107" max="4107" width="3.7109375" style="243" customWidth="1"/>
    <col min="4108" max="4108" width="34.42578125" style="243" customWidth="1"/>
    <col min="4109" max="4109" width="11.5703125" style="243" customWidth="1"/>
    <col min="4110" max="4110" width="11.7109375" style="243" customWidth="1"/>
    <col min="4111" max="4137" width="8.42578125" style="243" customWidth="1"/>
    <col min="4138" max="4138" width="11.42578125" style="243" customWidth="1"/>
    <col min="4139" max="4139" width="9.42578125" style="243" customWidth="1"/>
    <col min="4140" max="4140" width="11.5703125" style="243" bestFit="1" customWidth="1"/>
    <col min="4141" max="4141" width="9.28515625" style="243" bestFit="1" customWidth="1"/>
    <col min="4142" max="4362" width="9.140625" style="243"/>
    <col min="4363" max="4363" width="3.7109375" style="243" customWidth="1"/>
    <col min="4364" max="4364" width="34.42578125" style="243" customWidth="1"/>
    <col min="4365" max="4365" width="11.5703125" style="243" customWidth="1"/>
    <col min="4366" max="4366" width="11.7109375" style="243" customWidth="1"/>
    <col min="4367" max="4393" width="8.42578125" style="243" customWidth="1"/>
    <col min="4394" max="4394" width="11.42578125" style="243" customWidth="1"/>
    <col min="4395" max="4395" width="9.42578125" style="243" customWidth="1"/>
    <col min="4396" max="4396" width="11.5703125" style="243" bestFit="1" customWidth="1"/>
    <col min="4397" max="4397" width="9.28515625" style="243" bestFit="1" customWidth="1"/>
    <col min="4398" max="4618" width="9.140625" style="243"/>
    <col min="4619" max="4619" width="3.7109375" style="243" customWidth="1"/>
    <col min="4620" max="4620" width="34.42578125" style="243" customWidth="1"/>
    <col min="4621" max="4621" width="11.5703125" style="243" customWidth="1"/>
    <col min="4622" max="4622" width="11.7109375" style="243" customWidth="1"/>
    <col min="4623" max="4649" width="8.42578125" style="243" customWidth="1"/>
    <col min="4650" max="4650" width="11.42578125" style="243" customWidth="1"/>
    <col min="4651" max="4651" width="9.42578125" style="243" customWidth="1"/>
    <col min="4652" max="4652" width="11.5703125" style="243" bestFit="1" customWidth="1"/>
    <col min="4653" max="4653" width="9.28515625" style="243" bestFit="1" customWidth="1"/>
    <col min="4654" max="4874" width="9.140625" style="243"/>
    <col min="4875" max="4875" width="3.7109375" style="243" customWidth="1"/>
    <col min="4876" max="4876" width="34.42578125" style="243" customWidth="1"/>
    <col min="4877" max="4877" width="11.5703125" style="243" customWidth="1"/>
    <col min="4878" max="4878" width="11.7109375" style="243" customWidth="1"/>
    <col min="4879" max="4905" width="8.42578125" style="243" customWidth="1"/>
    <col min="4906" max="4906" width="11.42578125" style="243" customWidth="1"/>
    <col min="4907" max="4907" width="9.42578125" style="243" customWidth="1"/>
    <col min="4908" max="4908" width="11.5703125" style="243" bestFit="1" customWidth="1"/>
    <col min="4909" max="4909" width="9.28515625" style="243" bestFit="1" customWidth="1"/>
    <col min="4910" max="5130" width="9.140625" style="243"/>
    <col min="5131" max="5131" width="3.7109375" style="243" customWidth="1"/>
    <col min="5132" max="5132" width="34.42578125" style="243" customWidth="1"/>
    <col min="5133" max="5133" width="11.5703125" style="243" customWidth="1"/>
    <col min="5134" max="5134" width="11.7109375" style="243" customWidth="1"/>
    <col min="5135" max="5161" width="8.42578125" style="243" customWidth="1"/>
    <col min="5162" max="5162" width="11.42578125" style="243" customWidth="1"/>
    <col min="5163" max="5163" width="9.42578125" style="243" customWidth="1"/>
    <col min="5164" max="5164" width="11.5703125" style="243" bestFit="1" customWidth="1"/>
    <col min="5165" max="5165" width="9.28515625" style="243" bestFit="1" customWidth="1"/>
    <col min="5166" max="5386" width="9.140625" style="243"/>
    <col min="5387" max="5387" width="3.7109375" style="243" customWidth="1"/>
    <col min="5388" max="5388" width="34.42578125" style="243" customWidth="1"/>
    <col min="5389" max="5389" width="11.5703125" style="243" customWidth="1"/>
    <col min="5390" max="5390" width="11.7109375" style="243" customWidth="1"/>
    <col min="5391" max="5417" width="8.42578125" style="243" customWidth="1"/>
    <col min="5418" max="5418" width="11.42578125" style="243" customWidth="1"/>
    <col min="5419" max="5419" width="9.42578125" style="243" customWidth="1"/>
    <col min="5420" max="5420" width="11.5703125" style="243" bestFit="1" customWidth="1"/>
    <col min="5421" max="5421" width="9.28515625" style="243" bestFit="1" customWidth="1"/>
    <col min="5422" max="5642" width="9.140625" style="243"/>
    <col min="5643" max="5643" width="3.7109375" style="243" customWidth="1"/>
    <col min="5644" max="5644" width="34.42578125" style="243" customWidth="1"/>
    <col min="5645" max="5645" width="11.5703125" style="243" customWidth="1"/>
    <col min="5646" max="5646" width="11.7109375" style="243" customWidth="1"/>
    <col min="5647" max="5673" width="8.42578125" style="243" customWidth="1"/>
    <col min="5674" max="5674" width="11.42578125" style="243" customWidth="1"/>
    <col min="5675" max="5675" width="9.42578125" style="243" customWidth="1"/>
    <col min="5676" max="5676" width="11.5703125" style="243" bestFit="1" customWidth="1"/>
    <col min="5677" max="5677" width="9.28515625" style="243" bestFit="1" customWidth="1"/>
    <col min="5678" max="5898" width="9.140625" style="243"/>
    <col min="5899" max="5899" width="3.7109375" style="243" customWidth="1"/>
    <col min="5900" max="5900" width="34.42578125" style="243" customWidth="1"/>
    <col min="5901" max="5901" width="11.5703125" style="243" customWidth="1"/>
    <col min="5902" max="5902" width="11.7109375" style="243" customWidth="1"/>
    <col min="5903" max="5929" width="8.42578125" style="243" customWidth="1"/>
    <col min="5930" max="5930" width="11.42578125" style="243" customWidth="1"/>
    <col min="5931" max="5931" width="9.42578125" style="243" customWidth="1"/>
    <col min="5932" max="5932" width="11.5703125" style="243" bestFit="1" customWidth="1"/>
    <col min="5933" max="5933" width="9.28515625" style="243" bestFit="1" customWidth="1"/>
    <col min="5934" max="6154" width="9.140625" style="243"/>
    <col min="6155" max="6155" width="3.7109375" style="243" customWidth="1"/>
    <col min="6156" max="6156" width="34.42578125" style="243" customWidth="1"/>
    <col min="6157" max="6157" width="11.5703125" style="243" customWidth="1"/>
    <col min="6158" max="6158" width="11.7109375" style="243" customWidth="1"/>
    <col min="6159" max="6185" width="8.42578125" style="243" customWidth="1"/>
    <col min="6186" max="6186" width="11.42578125" style="243" customWidth="1"/>
    <col min="6187" max="6187" width="9.42578125" style="243" customWidth="1"/>
    <col min="6188" max="6188" width="11.5703125" style="243" bestFit="1" customWidth="1"/>
    <col min="6189" max="6189" width="9.28515625" style="243" bestFit="1" customWidth="1"/>
    <col min="6190" max="6410" width="9.140625" style="243"/>
    <col min="6411" max="6411" width="3.7109375" style="243" customWidth="1"/>
    <col min="6412" max="6412" width="34.42578125" style="243" customWidth="1"/>
    <col min="6413" max="6413" width="11.5703125" style="243" customWidth="1"/>
    <col min="6414" max="6414" width="11.7109375" style="243" customWidth="1"/>
    <col min="6415" max="6441" width="8.42578125" style="243" customWidth="1"/>
    <col min="6442" max="6442" width="11.42578125" style="243" customWidth="1"/>
    <col min="6443" max="6443" width="9.42578125" style="243" customWidth="1"/>
    <col min="6444" max="6444" width="11.5703125" style="243" bestFit="1" customWidth="1"/>
    <col min="6445" max="6445" width="9.28515625" style="243" bestFit="1" customWidth="1"/>
    <col min="6446" max="6666" width="9.140625" style="243"/>
    <col min="6667" max="6667" width="3.7109375" style="243" customWidth="1"/>
    <col min="6668" max="6668" width="34.42578125" style="243" customWidth="1"/>
    <col min="6669" max="6669" width="11.5703125" style="243" customWidth="1"/>
    <col min="6670" max="6670" width="11.7109375" style="243" customWidth="1"/>
    <col min="6671" max="6697" width="8.42578125" style="243" customWidth="1"/>
    <col min="6698" max="6698" width="11.42578125" style="243" customWidth="1"/>
    <col min="6699" max="6699" width="9.42578125" style="243" customWidth="1"/>
    <col min="6700" max="6700" width="11.5703125" style="243" bestFit="1" customWidth="1"/>
    <col min="6701" max="6701" width="9.28515625" style="243" bestFit="1" customWidth="1"/>
    <col min="6702" max="6922" width="9.140625" style="243"/>
    <col min="6923" max="6923" width="3.7109375" style="243" customWidth="1"/>
    <col min="6924" max="6924" width="34.42578125" style="243" customWidth="1"/>
    <col min="6925" max="6925" width="11.5703125" style="243" customWidth="1"/>
    <col min="6926" max="6926" width="11.7109375" style="243" customWidth="1"/>
    <col min="6927" max="6953" width="8.42578125" style="243" customWidth="1"/>
    <col min="6954" max="6954" width="11.42578125" style="243" customWidth="1"/>
    <col min="6955" max="6955" width="9.42578125" style="243" customWidth="1"/>
    <col min="6956" max="6956" width="11.5703125" style="243" bestFit="1" customWidth="1"/>
    <col min="6957" max="6957" width="9.28515625" style="243" bestFit="1" customWidth="1"/>
    <col min="6958" max="7178" width="9.140625" style="243"/>
    <col min="7179" max="7179" width="3.7109375" style="243" customWidth="1"/>
    <col min="7180" max="7180" width="34.42578125" style="243" customWidth="1"/>
    <col min="7181" max="7181" width="11.5703125" style="243" customWidth="1"/>
    <col min="7182" max="7182" width="11.7109375" style="243" customWidth="1"/>
    <col min="7183" max="7209" width="8.42578125" style="243" customWidth="1"/>
    <col min="7210" max="7210" width="11.42578125" style="243" customWidth="1"/>
    <col min="7211" max="7211" width="9.42578125" style="243" customWidth="1"/>
    <col min="7212" max="7212" width="11.5703125" style="243" bestFit="1" customWidth="1"/>
    <col min="7213" max="7213" width="9.28515625" style="243" bestFit="1" customWidth="1"/>
    <col min="7214" max="7434" width="9.140625" style="243"/>
    <col min="7435" max="7435" width="3.7109375" style="243" customWidth="1"/>
    <col min="7436" max="7436" width="34.42578125" style="243" customWidth="1"/>
    <col min="7437" max="7437" width="11.5703125" style="243" customWidth="1"/>
    <col min="7438" max="7438" width="11.7109375" style="243" customWidth="1"/>
    <col min="7439" max="7465" width="8.42578125" style="243" customWidth="1"/>
    <col min="7466" max="7466" width="11.42578125" style="243" customWidth="1"/>
    <col min="7467" max="7467" width="9.42578125" style="243" customWidth="1"/>
    <col min="7468" max="7468" width="11.5703125" style="243" bestFit="1" customWidth="1"/>
    <col min="7469" max="7469" width="9.28515625" style="243" bestFit="1" customWidth="1"/>
    <col min="7470" max="7690" width="9.140625" style="243"/>
    <col min="7691" max="7691" width="3.7109375" style="243" customWidth="1"/>
    <col min="7692" max="7692" width="34.42578125" style="243" customWidth="1"/>
    <col min="7693" max="7693" width="11.5703125" style="243" customWidth="1"/>
    <col min="7694" max="7694" width="11.7109375" style="243" customWidth="1"/>
    <col min="7695" max="7721" width="8.42578125" style="243" customWidth="1"/>
    <col min="7722" max="7722" width="11.42578125" style="243" customWidth="1"/>
    <col min="7723" max="7723" width="9.42578125" style="243" customWidth="1"/>
    <col min="7724" max="7724" width="11.5703125" style="243" bestFit="1" customWidth="1"/>
    <col min="7725" max="7725" width="9.28515625" style="243" bestFit="1" customWidth="1"/>
    <col min="7726" max="7946" width="9.140625" style="243"/>
    <col min="7947" max="7947" width="3.7109375" style="243" customWidth="1"/>
    <col min="7948" max="7948" width="34.42578125" style="243" customWidth="1"/>
    <col min="7949" max="7949" width="11.5703125" style="243" customWidth="1"/>
    <col min="7950" max="7950" width="11.7109375" style="243" customWidth="1"/>
    <col min="7951" max="7977" width="8.42578125" style="243" customWidth="1"/>
    <col min="7978" max="7978" width="11.42578125" style="243" customWidth="1"/>
    <col min="7979" max="7979" width="9.42578125" style="243" customWidth="1"/>
    <col min="7980" max="7980" width="11.5703125" style="243" bestFit="1" customWidth="1"/>
    <col min="7981" max="7981" width="9.28515625" style="243" bestFit="1" customWidth="1"/>
    <col min="7982" max="8202" width="9.140625" style="243"/>
    <col min="8203" max="8203" width="3.7109375" style="243" customWidth="1"/>
    <col min="8204" max="8204" width="34.42578125" style="243" customWidth="1"/>
    <col min="8205" max="8205" width="11.5703125" style="243" customWidth="1"/>
    <col min="8206" max="8206" width="11.7109375" style="243" customWidth="1"/>
    <col min="8207" max="8233" width="8.42578125" style="243" customWidth="1"/>
    <col min="8234" max="8234" width="11.42578125" style="243" customWidth="1"/>
    <col min="8235" max="8235" width="9.42578125" style="243" customWidth="1"/>
    <col min="8236" max="8236" width="11.5703125" style="243" bestFit="1" customWidth="1"/>
    <col min="8237" max="8237" width="9.28515625" style="243" bestFit="1" customWidth="1"/>
    <col min="8238" max="8458" width="9.140625" style="243"/>
    <col min="8459" max="8459" width="3.7109375" style="243" customWidth="1"/>
    <col min="8460" max="8460" width="34.42578125" style="243" customWidth="1"/>
    <col min="8461" max="8461" width="11.5703125" style="243" customWidth="1"/>
    <col min="8462" max="8462" width="11.7109375" style="243" customWidth="1"/>
    <col min="8463" max="8489" width="8.42578125" style="243" customWidth="1"/>
    <col min="8490" max="8490" width="11.42578125" style="243" customWidth="1"/>
    <col min="8491" max="8491" width="9.42578125" style="243" customWidth="1"/>
    <col min="8492" max="8492" width="11.5703125" style="243" bestFit="1" customWidth="1"/>
    <col min="8493" max="8493" width="9.28515625" style="243" bestFit="1" customWidth="1"/>
    <col min="8494" max="8714" width="9.140625" style="243"/>
    <col min="8715" max="8715" width="3.7109375" style="243" customWidth="1"/>
    <col min="8716" max="8716" width="34.42578125" style="243" customWidth="1"/>
    <col min="8717" max="8717" width="11.5703125" style="243" customWidth="1"/>
    <col min="8718" max="8718" width="11.7109375" style="243" customWidth="1"/>
    <col min="8719" max="8745" width="8.42578125" style="243" customWidth="1"/>
    <col min="8746" max="8746" width="11.42578125" style="243" customWidth="1"/>
    <col min="8747" max="8747" width="9.42578125" style="243" customWidth="1"/>
    <col min="8748" max="8748" width="11.5703125" style="243" bestFit="1" customWidth="1"/>
    <col min="8749" max="8749" width="9.28515625" style="243" bestFit="1" customWidth="1"/>
    <col min="8750" max="8970" width="9.140625" style="243"/>
    <col min="8971" max="8971" width="3.7109375" style="243" customWidth="1"/>
    <col min="8972" max="8972" width="34.42578125" style="243" customWidth="1"/>
    <col min="8973" max="8973" width="11.5703125" style="243" customWidth="1"/>
    <col min="8974" max="8974" width="11.7109375" style="243" customWidth="1"/>
    <col min="8975" max="9001" width="8.42578125" style="243" customWidth="1"/>
    <col min="9002" max="9002" width="11.42578125" style="243" customWidth="1"/>
    <col min="9003" max="9003" width="9.42578125" style="243" customWidth="1"/>
    <col min="9004" max="9004" width="11.5703125" style="243" bestFit="1" customWidth="1"/>
    <col min="9005" max="9005" width="9.28515625" style="243" bestFit="1" customWidth="1"/>
    <col min="9006" max="9226" width="9.140625" style="243"/>
    <col min="9227" max="9227" width="3.7109375" style="243" customWidth="1"/>
    <col min="9228" max="9228" width="34.42578125" style="243" customWidth="1"/>
    <col min="9229" max="9229" width="11.5703125" style="243" customWidth="1"/>
    <col min="9230" max="9230" width="11.7109375" style="243" customWidth="1"/>
    <col min="9231" max="9257" width="8.42578125" style="243" customWidth="1"/>
    <col min="9258" max="9258" width="11.42578125" style="243" customWidth="1"/>
    <col min="9259" max="9259" width="9.42578125" style="243" customWidth="1"/>
    <col min="9260" max="9260" width="11.5703125" style="243" bestFit="1" customWidth="1"/>
    <col min="9261" max="9261" width="9.28515625" style="243" bestFit="1" customWidth="1"/>
    <col min="9262" max="9482" width="9.140625" style="243"/>
    <col min="9483" max="9483" width="3.7109375" style="243" customWidth="1"/>
    <col min="9484" max="9484" width="34.42578125" style="243" customWidth="1"/>
    <col min="9485" max="9485" width="11.5703125" style="243" customWidth="1"/>
    <col min="9486" max="9486" width="11.7109375" style="243" customWidth="1"/>
    <col min="9487" max="9513" width="8.42578125" style="243" customWidth="1"/>
    <col min="9514" max="9514" width="11.42578125" style="243" customWidth="1"/>
    <col min="9515" max="9515" width="9.42578125" style="243" customWidth="1"/>
    <col min="9516" max="9516" width="11.5703125" style="243" bestFit="1" customWidth="1"/>
    <col min="9517" max="9517" width="9.28515625" style="243" bestFit="1" customWidth="1"/>
    <col min="9518" max="9738" width="9.140625" style="243"/>
    <col min="9739" max="9739" width="3.7109375" style="243" customWidth="1"/>
    <col min="9740" max="9740" width="34.42578125" style="243" customWidth="1"/>
    <col min="9741" max="9741" width="11.5703125" style="243" customWidth="1"/>
    <col min="9742" max="9742" width="11.7109375" style="243" customWidth="1"/>
    <col min="9743" max="9769" width="8.42578125" style="243" customWidth="1"/>
    <col min="9770" max="9770" width="11.42578125" style="243" customWidth="1"/>
    <col min="9771" max="9771" width="9.42578125" style="243" customWidth="1"/>
    <col min="9772" max="9772" width="11.5703125" style="243" bestFit="1" customWidth="1"/>
    <col min="9773" max="9773" width="9.28515625" style="243" bestFit="1" customWidth="1"/>
    <col min="9774" max="9994" width="9.140625" style="243"/>
    <col min="9995" max="9995" width="3.7109375" style="243" customWidth="1"/>
    <col min="9996" max="9996" width="34.42578125" style="243" customWidth="1"/>
    <col min="9997" max="9997" width="11.5703125" style="243" customWidth="1"/>
    <col min="9998" max="9998" width="11.7109375" style="243" customWidth="1"/>
    <col min="9999" max="10025" width="8.42578125" style="243" customWidth="1"/>
    <col min="10026" max="10026" width="11.42578125" style="243" customWidth="1"/>
    <col min="10027" max="10027" width="9.42578125" style="243" customWidth="1"/>
    <col min="10028" max="10028" width="11.5703125" style="243" bestFit="1" customWidth="1"/>
    <col min="10029" max="10029" width="9.28515625" style="243" bestFit="1" customWidth="1"/>
    <col min="10030" max="10250" width="9.140625" style="243"/>
    <col min="10251" max="10251" width="3.7109375" style="243" customWidth="1"/>
    <col min="10252" max="10252" width="34.42578125" style="243" customWidth="1"/>
    <col min="10253" max="10253" width="11.5703125" style="243" customWidth="1"/>
    <col min="10254" max="10254" width="11.7109375" style="243" customWidth="1"/>
    <col min="10255" max="10281" width="8.42578125" style="243" customWidth="1"/>
    <col min="10282" max="10282" width="11.42578125" style="243" customWidth="1"/>
    <col min="10283" max="10283" width="9.42578125" style="243" customWidth="1"/>
    <col min="10284" max="10284" width="11.5703125" style="243" bestFit="1" customWidth="1"/>
    <col min="10285" max="10285" width="9.28515625" style="243" bestFit="1" customWidth="1"/>
    <col min="10286" max="10506" width="9.140625" style="243"/>
    <col min="10507" max="10507" width="3.7109375" style="243" customWidth="1"/>
    <col min="10508" max="10508" width="34.42578125" style="243" customWidth="1"/>
    <col min="10509" max="10509" width="11.5703125" style="243" customWidth="1"/>
    <col min="10510" max="10510" width="11.7109375" style="243" customWidth="1"/>
    <col min="10511" max="10537" width="8.42578125" style="243" customWidth="1"/>
    <col min="10538" max="10538" width="11.42578125" style="243" customWidth="1"/>
    <col min="10539" max="10539" width="9.42578125" style="243" customWidth="1"/>
    <col min="10540" max="10540" width="11.5703125" style="243" bestFit="1" customWidth="1"/>
    <col min="10541" max="10541" width="9.28515625" style="243" bestFit="1" customWidth="1"/>
    <col min="10542" max="10762" width="9.140625" style="243"/>
    <col min="10763" max="10763" width="3.7109375" style="243" customWidth="1"/>
    <col min="10764" max="10764" width="34.42578125" style="243" customWidth="1"/>
    <col min="10765" max="10765" width="11.5703125" style="243" customWidth="1"/>
    <col min="10766" max="10766" width="11.7109375" style="243" customWidth="1"/>
    <col min="10767" max="10793" width="8.42578125" style="243" customWidth="1"/>
    <col min="10794" max="10794" width="11.42578125" style="243" customWidth="1"/>
    <col min="10795" max="10795" width="9.42578125" style="243" customWidth="1"/>
    <col min="10796" max="10796" width="11.5703125" style="243" bestFit="1" customWidth="1"/>
    <col min="10797" max="10797" width="9.28515625" style="243" bestFit="1" customWidth="1"/>
    <col min="10798" max="11018" width="9.140625" style="243"/>
    <col min="11019" max="11019" width="3.7109375" style="243" customWidth="1"/>
    <col min="11020" max="11020" width="34.42578125" style="243" customWidth="1"/>
    <col min="11021" max="11021" width="11.5703125" style="243" customWidth="1"/>
    <col min="11022" max="11022" width="11.7109375" style="243" customWidth="1"/>
    <col min="11023" max="11049" width="8.42578125" style="243" customWidth="1"/>
    <col min="11050" max="11050" width="11.42578125" style="243" customWidth="1"/>
    <col min="11051" max="11051" width="9.42578125" style="243" customWidth="1"/>
    <col min="11052" max="11052" width="11.5703125" style="243" bestFit="1" customWidth="1"/>
    <col min="11053" max="11053" width="9.28515625" style="243" bestFit="1" customWidth="1"/>
    <col min="11054" max="11274" width="9.140625" style="243"/>
    <col min="11275" max="11275" width="3.7109375" style="243" customWidth="1"/>
    <col min="11276" max="11276" width="34.42578125" style="243" customWidth="1"/>
    <col min="11277" max="11277" width="11.5703125" style="243" customWidth="1"/>
    <col min="11278" max="11278" width="11.7109375" style="243" customWidth="1"/>
    <col min="11279" max="11305" width="8.42578125" style="243" customWidth="1"/>
    <col min="11306" max="11306" width="11.42578125" style="243" customWidth="1"/>
    <col min="11307" max="11307" width="9.42578125" style="243" customWidth="1"/>
    <col min="11308" max="11308" width="11.5703125" style="243" bestFit="1" customWidth="1"/>
    <col min="11309" max="11309" width="9.28515625" style="243" bestFit="1" customWidth="1"/>
    <col min="11310" max="11530" width="9.140625" style="243"/>
    <col min="11531" max="11531" width="3.7109375" style="243" customWidth="1"/>
    <col min="11532" max="11532" width="34.42578125" style="243" customWidth="1"/>
    <col min="11533" max="11533" width="11.5703125" style="243" customWidth="1"/>
    <col min="11534" max="11534" width="11.7109375" style="243" customWidth="1"/>
    <col min="11535" max="11561" width="8.42578125" style="243" customWidth="1"/>
    <col min="11562" max="11562" width="11.42578125" style="243" customWidth="1"/>
    <col min="11563" max="11563" width="9.42578125" style="243" customWidth="1"/>
    <col min="11564" max="11564" width="11.5703125" style="243" bestFit="1" customWidth="1"/>
    <col min="11565" max="11565" width="9.28515625" style="243" bestFit="1" customWidth="1"/>
    <col min="11566" max="11786" width="9.140625" style="243"/>
    <col min="11787" max="11787" width="3.7109375" style="243" customWidth="1"/>
    <col min="11788" max="11788" width="34.42578125" style="243" customWidth="1"/>
    <col min="11789" max="11789" width="11.5703125" style="243" customWidth="1"/>
    <col min="11790" max="11790" width="11.7109375" style="243" customWidth="1"/>
    <col min="11791" max="11817" width="8.42578125" style="243" customWidth="1"/>
    <col min="11818" max="11818" width="11.42578125" style="243" customWidth="1"/>
    <col min="11819" max="11819" width="9.42578125" style="243" customWidth="1"/>
    <col min="11820" max="11820" width="11.5703125" style="243" bestFit="1" customWidth="1"/>
    <col min="11821" max="11821" width="9.28515625" style="243" bestFit="1" customWidth="1"/>
    <col min="11822" max="12042" width="9.140625" style="243"/>
    <col min="12043" max="12043" width="3.7109375" style="243" customWidth="1"/>
    <col min="12044" max="12044" width="34.42578125" style="243" customWidth="1"/>
    <col min="12045" max="12045" width="11.5703125" style="243" customWidth="1"/>
    <col min="12046" max="12046" width="11.7109375" style="243" customWidth="1"/>
    <col min="12047" max="12073" width="8.42578125" style="243" customWidth="1"/>
    <col min="12074" max="12074" width="11.42578125" style="243" customWidth="1"/>
    <col min="12075" max="12075" width="9.42578125" style="243" customWidth="1"/>
    <col min="12076" max="12076" width="11.5703125" style="243" bestFit="1" customWidth="1"/>
    <col min="12077" max="12077" width="9.28515625" style="243" bestFit="1" customWidth="1"/>
    <col min="12078" max="12298" width="9.140625" style="243"/>
    <col min="12299" max="12299" width="3.7109375" style="243" customWidth="1"/>
    <col min="12300" max="12300" width="34.42578125" style="243" customWidth="1"/>
    <col min="12301" max="12301" width="11.5703125" style="243" customWidth="1"/>
    <col min="12302" max="12302" width="11.7109375" style="243" customWidth="1"/>
    <col min="12303" max="12329" width="8.42578125" style="243" customWidth="1"/>
    <col min="12330" max="12330" width="11.42578125" style="243" customWidth="1"/>
    <col min="12331" max="12331" width="9.42578125" style="243" customWidth="1"/>
    <col min="12332" max="12332" width="11.5703125" style="243" bestFit="1" customWidth="1"/>
    <col min="12333" max="12333" width="9.28515625" style="243" bestFit="1" customWidth="1"/>
    <col min="12334" max="12554" width="9.140625" style="243"/>
    <col min="12555" max="12555" width="3.7109375" style="243" customWidth="1"/>
    <col min="12556" max="12556" width="34.42578125" style="243" customWidth="1"/>
    <col min="12557" max="12557" width="11.5703125" style="243" customWidth="1"/>
    <col min="12558" max="12558" width="11.7109375" style="243" customWidth="1"/>
    <col min="12559" max="12585" width="8.42578125" style="243" customWidth="1"/>
    <col min="12586" max="12586" width="11.42578125" style="243" customWidth="1"/>
    <col min="12587" max="12587" width="9.42578125" style="243" customWidth="1"/>
    <col min="12588" max="12588" width="11.5703125" style="243" bestFit="1" customWidth="1"/>
    <col min="12589" max="12589" width="9.28515625" style="243" bestFit="1" customWidth="1"/>
    <col min="12590" max="12810" width="9.140625" style="243"/>
    <col min="12811" max="12811" width="3.7109375" style="243" customWidth="1"/>
    <col min="12812" max="12812" width="34.42578125" style="243" customWidth="1"/>
    <col min="12813" max="12813" width="11.5703125" style="243" customWidth="1"/>
    <col min="12814" max="12814" width="11.7109375" style="243" customWidth="1"/>
    <col min="12815" max="12841" width="8.42578125" style="243" customWidth="1"/>
    <col min="12842" max="12842" width="11.42578125" style="243" customWidth="1"/>
    <col min="12843" max="12843" width="9.42578125" style="243" customWidth="1"/>
    <col min="12844" max="12844" width="11.5703125" style="243" bestFit="1" customWidth="1"/>
    <col min="12845" max="12845" width="9.28515625" style="243" bestFit="1" customWidth="1"/>
    <col min="12846" max="13066" width="9.140625" style="243"/>
    <col min="13067" max="13067" width="3.7109375" style="243" customWidth="1"/>
    <col min="13068" max="13068" width="34.42578125" style="243" customWidth="1"/>
    <col min="13069" max="13069" width="11.5703125" style="243" customWidth="1"/>
    <col min="13070" max="13070" width="11.7109375" style="243" customWidth="1"/>
    <col min="13071" max="13097" width="8.42578125" style="243" customWidth="1"/>
    <col min="13098" max="13098" width="11.42578125" style="243" customWidth="1"/>
    <col min="13099" max="13099" width="9.42578125" style="243" customWidth="1"/>
    <col min="13100" max="13100" width="11.5703125" style="243" bestFit="1" customWidth="1"/>
    <col min="13101" max="13101" width="9.28515625" style="243" bestFit="1" customWidth="1"/>
    <col min="13102" max="13322" width="9.140625" style="243"/>
    <col min="13323" max="13323" width="3.7109375" style="243" customWidth="1"/>
    <col min="13324" max="13324" width="34.42578125" style="243" customWidth="1"/>
    <col min="13325" max="13325" width="11.5703125" style="243" customWidth="1"/>
    <col min="13326" max="13326" width="11.7109375" style="243" customWidth="1"/>
    <col min="13327" max="13353" width="8.42578125" style="243" customWidth="1"/>
    <col min="13354" max="13354" width="11.42578125" style="243" customWidth="1"/>
    <col min="13355" max="13355" width="9.42578125" style="243" customWidth="1"/>
    <col min="13356" max="13356" width="11.5703125" style="243" bestFit="1" customWidth="1"/>
    <col min="13357" max="13357" width="9.28515625" style="243" bestFit="1" customWidth="1"/>
    <col min="13358" max="13578" width="9.140625" style="243"/>
    <col min="13579" max="13579" width="3.7109375" style="243" customWidth="1"/>
    <col min="13580" max="13580" width="34.42578125" style="243" customWidth="1"/>
    <col min="13581" max="13581" width="11.5703125" style="243" customWidth="1"/>
    <col min="13582" max="13582" width="11.7109375" style="243" customWidth="1"/>
    <col min="13583" max="13609" width="8.42578125" style="243" customWidth="1"/>
    <col min="13610" max="13610" width="11.42578125" style="243" customWidth="1"/>
    <col min="13611" max="13611" width="9.42578125" style="243" customWidth="1"/>
    <col min="13612" max="13612" width="11.5703125" style="243" bestFit="1" customWidth="1"/>
    <col min="13613" max="13613" width="9.28515625" style="243" bestFit="1" customWidth="1"/>
    <col min="13614" max="13834" width="9.140625" style="243"/>
    <col min="13835" max="13835" width="3.7109375" style="243" customWidth="1"/>
    <col min="13836" max="13836" width="34.42578125" style="243" customWidth="1"/>
    <col min="13837" max="13837" width="11.5703125" style="243" customWidth="1"/>
    <col min="13838" max="13838" width="11.7109375" style="243" customWidth="1"/>
    <col min="13839" max="13865" width="8.42578125" style="243" customWidth="1"/>
    <col min="13866" max="13866" width="11.42578125" style="243" customWidth="1"/>
    <col min="13867" max="13867" width="9.42578125" style="243" customWidth="1"/>
    <col min="13868" max="13868" width="11.5703125" style="243" bestFit="1" customWidth="1"/>
    <col min="13869" max="13869" width="9.28515625" style="243" bestFit="1" customWidth="1"/>
    <col min="13870" max="14090" width="9.140625" style="243"/>
    <col min="14091" max="14091" width="3.7109375" style="243" customWidth="1"/>
    <col min="14092" max="14092" width="34.42578125" style="243" customWidth="1"/>
    <col min="14093" max="14093" width="11.5703125" style="243" customWidth="1"/>
    <col min="14094" max="14094" width="11.7109375" style="243" customWidth="1"/>
    <col min="14095" max="14121" width="8.42578125" style="243" customWidth="1"/>
    <col min="14122" max="14122" width="11.42578125" style="243" customWidth="1"/>
    <col min="14123" max="14123" width="9.42578125" style="243" customWidth="1"/>
    <col min="14124" max="14124" width="11.5703125" style="243" bestFit="1" customWidth="1"/>
    <col min="14125" max="14125" width="9.28515625" style="243" bestFit="1" customWidth="1"/>
    <col min="14126" max="14346" width="9.140625" style="243"/>
    <col min="14347" max="14347" width="3.7109375" style="243" customWidth="1"/>
    <col min="14348" max="14348" width="34.42578125" style="243" customWidth="1"/>
    <col min="14349" max="14349" width="11.5703125" style="243" customWidth="1"/>
    <col min="14350" max="14350" width="11.7109375" style="243" customWidth="1"/>
    <col min="14351" max="14377" width="8.42578125" style="243" customWidth="1"/>
    <col min="14378" max="14378" width="11.42578125" style="243" customWidth="1"/>
    <col min="14379" max="14379" width="9.42578125" style="243" customWidth="1"/>
    <col min="14380" max="14380" width="11.5703125" style="243" bestFit="1" customWidth="1"/>
    <col min="14381" max="14381" width="9.28515625" style="243" bestFit="1" customWidth="1"/>
    <col min="14382" max="14602" width="9.140625" style="243"/>
    <col min="14603" max="14603" width="3.7109375" style="243" customWidth="1"/>
    <col min="14604" max="14604" width="34.42578125" style="243" customWidth="1"/>
    <col min="14605" max="14605" width="11.5703125" style="243" customWidth="1"/>
    <col min="14606" max="14606" width="11.7109375" style="243" customWidth="1"/>
    <col min="14607" max="14633" width="8.42578125" style="243" customWidth="1"/>
    <col min="14634" max="14634" width="11.42578125" style="243" customWidth="1"/>
    <col min="14635" max="14635" width="9.42578125" style="243" customWidth="1"/>
    <col min="14636" max="14636" width="11.5703125" style="243" bestFit="1" customWidth="1"/>
    <col min="14637" max="14637" width="9.28515625" style="243" bestFit="1" customWidth="1"/>
    <col min="14638" max="14858" width="9.140625" style="243"/>
    <col min="14859" max="14859" width="3.7109375" style="243" customWidth="1"/>
    <col min="14860" max="14860" width="34.42578125" style="243" customWidth="1"/>
    <col min="14861" max="14861" width="11.5703125" style="243" customWidth="1"/>
    <col min="14862" max="14862" width="11.7109375" style="243" customWidth="1"/>
    <col min="14863" max="14889" width="8.42578125" style="243" customWidth="1"/>
    <col min="14890" max="14890" width="11.42578125" style="243" customWidth="1"/>
    <col min="14891" max="14891" width="9.42578125" style="243" customWidth="1"/>
    <col min="14892" max="14892" width="11.5703125" style="243" bestFit="1" customWidth="1"/>
    <col min="14893" max="14893" width="9.28515625" style="243" bestFit="1" customWidth="1"/>
    <col min="14894" max="15114" width="9.140625" style="243"/>
    <col min="15115" max="15115" width="3.7109375" style="243" customWidth="1"/>
    <col min="15116" max="15116" width="34.42578125" style="243" customWidth="1"/>
    <col min="15117" max="15117" width="11.5703125" style="243" customWidth="1"/>
    <col min="15118" max="15118" width="11.7109375" style="243" customWidth="1"/>
    <col min="15119" max="15145" width="8.42578125" style="243" customWidth="1"/>
    <col min="15146" max="15146" width="11.42578125" style="243" customWidth="1"/>
    <col min="15147" max="15147" width="9.42578125" style="243" customWidth="1"/>
    <col min="15148" max="15148" width="11.5703125" style="243" bestFit="1" customWidth="1"/>
    <col min="15149" max="15149" width="9.28515625" style="243" bestFit="1" customWidth="1"/>
    <col min="15150" max="15370" width="9.140625" style="243"/>
    <col min="15371" max="15371" width="3.7109375" style="243" customWidth="1"/>
    <col min="15372" max="15372" width="34.42578125" style="243" customWidth="1"/>
    <col min="15373" max="15373" width="11.5703125" style="243" customWidth="1"/>
    <col min="15374" max="15374" width="11.7109375" style="243" customWidth="1"/>
    <col min="15375" max="15401" width="8.42578125" style="243" customWidth="1"/>
    <col min="15402" max="15402" width="11.42578125" style="243" customWidth="1"/>
    <col min="15403" max="15403" width="9.42578125" style="243" customWidth="1"/>
    <col min="15404" max="15404" width="11.5703125" style="243" bestFit="1" customWidth="1"/>
    <col min="15405" max="15405" width="9.28515625" style="243" bestFit="1" customWidth="1"/>
    <col min="15406" max="15626" width="9.140625" style="243"/>
    <col min="15627" max="15627" width="3.7109375" style="243" customWidth="1"/>
    <col min="15628" max="15628" width="34.42578125" style="243" customWidth="1"/>
    <col min="15629" max="15629" width="11.5703125" style="243" customWidth="1"/>
    <col min="15630" max="15630" width="11.7109375" style="243" customWidth="1"/>
    <col min="15631" max="15657" width="8.42578125" style="243" customWidth="1"/>
    <col min="15658" max="15658" width="11.42578125" style="243" customWidth="1"/>
    <col min="15659" max="15659" width="9.42578125" style="243" customWidth="1"/>
    <col min="15660" max="15660" width="11.5703125" style="243" bestFit="1" customWidth="1"/>
    <col min="15661" max="15661" width="9.28515625" style="243" bestFit="1" customWidth="1"/>
    <col min="15662" max="15882" width="9.140625" style="243"/>
    <col min="15883" max="15883" width="3.7109375" style="243" customWidth="1"/>
    <col min="15884" max="15884" width="34.42578125" style="243" customWidth="1"/>
    <col min="15885" max="15885" width="11.5703125" style="243" customWidth="1"/>
    <col min="15886" max="15886" width="11.7109375" style="243" customWidth="1"/>
    <col min="15887" max="15913" width="8.42578125" style="243" customWidth="1"/>
    <col min="15914" max="15914" width="11.42578125" style="243" customWidth="1"/>
    <col min="15915" max="15915" width="9.42578125" style="243" customWidth="1"/>
    <col min="15916" max="15916" width="11.5703125" style="243" bestFit="1" customWidth="1"/>
    <col min="15917" max="15917" width="9.28515625" style="243" bestFit="1" customWidth="1"/>
    <col min="15918" max="16138" width="9.140625" style="243"/>
    <col min="16139" max="16139" width="3.7109375" style="243" customWidth="1"/>
    <col min="16140" max="16140" width="34.42578125" style="243" customWidth="1"/>
    <col min="16141" max="16141" width="11.5703125" style="243" customWidth="1"/>
    <col min="16142" max="16142" width="11.7109375" style="243" customWidth="1"/>
    <col min="16143" max="16169" width="8.42578125" style="243" customWidth="1"/>
    <col min="16170" max="16170" width="11.42578125" style="243" customWidth="1"/>
    <col min="16171" max="16171" width="9.42578125" style="243" customWidth="1"/>
    <col min="16172" max="16172" width="11.5703125" style="243" bestFit="1" customWidth="1"/>
    <col min="16173" max="16173" width="9.28515625" style="243" bestFit="1" customWidth="1"/>
    <col min="16174" max="16384" width="9.140625" style="243"/>
  </cols>
  <sheetData>
    <row r="1" spans="1:50" hidden="1" outlineLevel="1" x14ac:dyDescent="0.2">
      <c r="D1" s="163" t="s">
        <v>73</v>
      </c>
      <c r="E1" s="164">
        <f>E60+'табель сирот'!D43</f>
        <v>2</v>
      </c>
      <c r="F1" s="164">
        <f>F59+'табель сирот'!E43</f>
        <v>2</v>
      </c>
      <c r="G1" s="164">
        <f>G59+'табель сирот'!F43</f>
        <v>2</v>
      </c>
      <c r="H1" s="164">
        <f>H59+'табель сирот'!G43</f>
        <v>2</v>
      </c>
      <c r="I1" s="164">
        <f>I59+'табель сирот'!H43</f>
        <v>0</v>
      </c>
      <c r="J1" s="164">
        <f>J59+'табель сирот'!I43</f>
        <v>2</v>
      </c>
      <c r="K1" s="164"/>
      <c r="L1" s="164">
        <f>L59+'табель сирот'!K43</f>
        <v>1</v>
      </c>
      <c r="M1" s="164"/>
      <c r="N1" s="164">
        <f>N59+'табель сирот'!M43</f>
        <v>2</v>
      </c>
      <c r="O1" s="164">
        <f>O59+'табель сирот'!N43</f>
        <v>1</v>
      </c>
      <c r="P1" s="164">
        <f>P59+'табель сирот'!O43</f>
        <v>0</v>
      </c>
      <c r="Q1" s="164">
        <f>Q59+'табель сирот'!P43</f>
        <v>3</v>
      </c>
      <c r="R1" s="164"/>
      <c r="S1" s="164">
        <f>S59+'табель сирот'!R43</f>
        <v>2</v>
      </c>
      <c r="T1" s="164">
        <f>T59+'табель сирот'!S43</f>
        <v>2</v>
      </c>
      <c r="U1" s="164">
        <f>U59+'табель сирот'!T43</f>
        <v>1</v>
      </c>
      <c r="V1" s="164">
        <f>V59+'табель сирот'!U43</f>
        <v>1</v>
      </c>
      <c r="W1" s="164">
        <f>W59+'табель сирот'!V43</f>
        <v>0</v>
      </c>
      <c r="X1" s="164">
        <f>X59+'табель сирот'!W43</f>
        <v>1</v>
      </c>
      <c r="Y1" s="164"/>
      <c r="Z1" s="164">
        <f>Z59+'табель сирот'!Y43</f>
        <v>3</v>
      </c>
      <c r="AA1" s="164">
        <f>AA59+'табель сирот'!Z43</f>
        <v>3</v>
      </c>
      <c r="AB1" s="164">
        <f>AB59+'табель сирот'!AA43</f>
        <v>3</v>
      </c>
      <c r="AC1" s="164">
        <f>AC59+'табель сирот'!AB43</f>
        <v>1</v>
      </c>
      <c r="AD1" s="164">
        <f>AD59+'табель сирот'!AC43</f>
        <v>0</v>
      </c>
      <c r="AE1" s="164"/>
      <c r="AF1" s="164"/>
      <c r="AG1" s="164">
        <f>AG59+'табель сирот'!AD43</f>
        <v>2</v>
      </c>
      <c r="AH1" s="164"/>
      <c r="AI1" s="164">
        <f>AI59+'табель сирот'!AF43</f>
        <v>4</v>
      </c>
      <c r="AJ1" s="164">
        <f>AJ59+'табель сирот'!AH43</f>
        <v>1</v>
      </c>
      <c r="AK1" s="164">
        <f>AK59+'табель сирот'!AI43</f>
        <v>0</v>
      </c>
      <c r="AL1" s="164">
        <f>AL59+'табель сирот'!AJ43</f>
        <v>0</v>
      </c>
      <c r="AM1" s="164"/>
      <c r="AN1" s="164"/>
      <c r="AO1" s="164"/>
      <c r="AP1" s="164"/>
      <c r="AQ1" s="164"/>
      <c r="AR1" s="164"/>
    </row>
    <row r="2" spans="1:50" hidden="1" outlineLevel="1" x14ac:dyDescent="0.2">
      <c r="D2" s="165" t="s">
        <v>74</v>
      </c>
      <c r="E2" s="166" t="e">
        <f>E61+'табель сирот'!D44</f>
        <v>#REF!</v>
      </c>
      <c r="F2" s="166" t="e">
        <f>F60+'табель сирот'!E44</f>
        <v>#REF!</v>
      </c>
      <c r="G2" s="166" t="e">
        <f>G60+'табель сирот'!F44</f>
        <v>#REF!</v>
      </c>
      <c r="H2" s="166" t="e">
        <f>H60+'табель сирот'!G44</f>
        <v>#REF!</v>
      </c>
      <c r="I2" s="166" t="e">
        <f>I60+'табель сирот'!H44</f>
        <v>#REF!</v>
      </c>
      <c r="J2" s="166" t="e">
        <f>J60+'табель сирот'!I44</f>
        <v>#REF!</v>
      </c>
      <c r="K2" s="166"/>
      <c r="L2" s="166" t="e">
        <f>L60+'табель сирот'!K44</f>
        <v>#REF!</v>
      </c>
      <c r="M2" s="166"/>
      <c r="N2" s="166" t="e">
        <f>N60+'табель сирот'!M44</f>
        <v>#REF!</v>
      </c>
      <c r="O2" s="166" t="e">
        <f>O60+'табель сирот'!N44</f>
        <v>#REF!</v>
      </c>
      <c r="P2" s="166" t="e">
        <f>P60+'табель сирот'!O44</f>
        <v>#REF!</v>
      </c>
      <c r="Q2" s="166" t="e">
        <f>Q60+'табель сирот'!P44</f>
        <v>#REF!</v>
      </c>
      <c r="R2" s="166"/>
      <c r="S2" s="166" t="e">
        <f>S60+'табель сирот'!R44</f>
        <v>#REF!</v>
      </c>
      <c r="T2" s="166" t="e">
        <f>T60+'табель сирот'!S44</f>
        <v>#REF!</v>
      </c>
      <c r="U2" s="166" t="e">
        <f>U60+'табель сирот'!T44</f>
        <v>#REF!</v>
      </c>
      <c r="V2" s="166" t="e">
        <f>V60+'табель сирот'!U44</f>
        <v>#REF!</v>
      </c>
      <c r="W2" s="166" t="e">
        <f>W60+'табель сирот'!V44</f>
        <v>#REF!</v>
      </c>
      <c r="X2" s="166" t="e">
        <f>X60+'табель сирот'!W44</f>
        <v>#REF!</v>
      </c>
      <c r="Y2" s="166"/>
      <c r="Z2" s="166" t="e">
        <f>Z60+'табель сирот'!Y44</f>
        <v>#REF!</v>
      </c>
      <c r="AA2" s="166" t="e">
        <f>AA60+'табель сирот'!Z44</f>
        <v>#REF!</v>
      </c>
      <c r="AB2" s="166" t="e">
        <f>AB60+'табель сирот'!AA44</f>
        <v>#REF!</v>
      </c>
      <c r="AC2" s="166" t="e">
        <f>AC60+'табель сирот'!AB44</f>
        <v>#REF!</v>
      </c>
      <c r="AD2" s="166" t="e">
        <f>AD60+'табель сирот'!AC44</f>
        <v>#REF!</v>
      </c>
      <c r="AE2" s="166"/>
      <c r="AF2" s="166"/>
      <c r="AG2" s="166" t="e">
        <f>AG60+'табель сирот'!AD44</f>
        <v>#REF!</v>
      </c>
      <c r="AH2" s="166"/>
      <c r="AI2" s="166" t="e">
        <f>AI60+'табель сирот'!AF44</f>
        <v>#REF!</v>
      </c>
      <c r="AJ2" s="166" t="e">
        <f>AJ60+'табель сирот'!AH44</f>
        <v>#REF!</v>
      </c>
      <c r="AK2" s="166" t="e">
        <f>AK60+'табель сирот'!AI44</f>
        <v>#REF!</v>
      </c>
      <c r="AL2" s="166" t="e">
        <f>AL60+'табель сирот'!AJ44</f>
        <v>#REF!</v>
      </c>
      <c r="AM2" s="166"/>
      <c r="AN2" s="166"/>
      <c r="AO2" s="166"/>
      <c r="AP2" s="166"/>
      <c r="AQ2" s="166"/>
      <c r="AR2" s="166"/>
    </row>
    <row r="3" spans="1:50" hidden="1" outlineLevel="1" x14ac:dyDescent="0.2">
      <c r="D3" s="167" t="s">
        <v>75</v>
      </c>
      <c r="E3" s="168" t="e">
        <f>E62+'табель сирот'!D45</f>
        <v>#REF!</v>
      </c>
      <c r="F3" s="168" t="e">
        <f>F61+'табель сирот'!E45</f>
        <v>#REF!</v>
      </c>
      <c r="G3" s="168" t="e">
        <f>G61+'табель сирот'!F45</f>
        <v>#REF!</v>
      </c>
      <c r="H3" s="168" t="e">
        <f>H61+'табель сирот'!G45</f>
        <v>#REF!</v>
      </c>
      <c r="I3" s="168" t="e">
        <f>I61+'табель сирот'!H45</f>
        <v>#REF!</v>
      </c>
      <c r="J3" s="168" t="e">
        <f>J61+'табель сирот'!I45</f>
        <v>#REF!</v>
      </c>
      <c r="K3" s="168"/>
      <c r="L3" s="168" t="e">
        <f>L61+'табель сирот'!K45</f>
        <v>#REF!</v>
      </c>
      <c r="M3" s="168"/>
      <c r="N3" s="168" t="e">
        <f>N61+'табель сирот'!M45</f>
        <v>#REF!</v>
      </c>
      <c r="O3" s="168" t="e">
        <f>O61+'табель сирот'!N45</f>
        <v>#REF!</v>
      </c>
      <c r="P3" s="168" t="e">
        <f>P61+'табель сирот'!O45</f>
        <v>#REF!</v>
      </c>
      <c r="Q3" s="168" t="e">
        <f>Q61+'табель сирот'!P45</f>
        <v>#REF!</v>
      </c>
      <c r="R3" s="168"/>
      <c r="S3" s="168" t="e">
        <f>S61+'табель сирот'!R45</f>
        <v>#REF!</v>
      </c>
      <c r="T3" s="168" t="e">
        <f>T61+'табель сирот'!S45</f>
        <v>#REF!</v>
      </c>
      <c r="U3" s="168" t="e">
        <f>U61+'табель сирот'!T45</f>
        <v>#REF!</v>
      </c>
      <c r="V3" s="168" t="e">
        <f>V61+'табель сирот'!U45</f>
        <v>#REF!</v>
      </c>
      <c r="W3" s="168" t="e">
        <f>W61+'табель сирот'!V45</f>
        <v>#REF!</v>
      </c>
      <c r="X3" s="168" t="e">
        <f>X61+'табель сирот'!W45</f>
        <v>#REF!</v>
      </c>
      <c r="Y3" s="168"/>
      <c r="Z3" s="168" t="e">
        <f>Z61+'табель сирот'!Y45</f>
        <v>#REF!</v>
      </c>
      <c r="AA3" s="168" t="e">
        <f>AA61+'табель сирот'!Z45</f>
        <v>#REF!</v>
      </c>
      <c r="AB3" s="168" t="e">
        <f>AB61+'табель сирот'!AA45</f>
        <v>#REF!</v>
      </c>
      <c r="AC3" s="168" t="e">
        <f>AC61+'табель сирот'!AB45</f>
        <v>#REF!</v>
      </c>
      <c r="AD3" s="168" t="e">
        <f>AD61+'табель сирот'!AC45</f>
        <v>#REF!</v>
      </c>
      <c r="AE3" s="168"/>
      <c r="AF3" s="168"/>
      <c r="AG3" s="168" t="e">
        <f>AG61+'табель сирот'!AD45</f>
        <v>#REF!</v>
      </c>
      <c r="AH3" s="168"/>
      <c r="AI3" s="168" t="e">
        <f>AI61+'табель сирот'!AF45</f>
        <v>#REF!</v>
      </c>
      <c r="AJ3" s="168" t="e">
        <f>AJ61+'табель сирот'!AH45</f>
        <v>#REF!</v>
      </c>
      <c r="AK3" s="168" t="e">
        <f>AK61+'табель сирот'!AI45</f>
        <v>#REF!</v>
      </c>
      <c r="AL3" s="168" t="e">
        <f>AL61+'табель сирот'!AJ45</f>
        <v>#REF!</v>
      </c>
      <c r="AM3" s="168"/>
      <c r="AN3" s="168"/>
      <c r="AO3" s="168"/>
      <c r="AP3" s="168"/>
      <c r="AQ3" s="168"/>
      <c r="AR3" s="168"/>
    </row>
    <row r="4" spans="1:50" hidden="1" outlineLevel="1" x14ac:dyDescent="0.2">
      <c r="D4" s="169" t="s">
        <v>76</v>
      </c>
      <c r="E4" s="170">
        <f>E63+'табель сирот'!D46</f>
        <v>4</v>
      </c>
      <c r="F4" s="170" t="e">
        <f>F62+'табель сирот'!E46</f>
        <v>#REF!</v>
      </c>
      <c r="G4" s="170" t="e">
        <f>G62+'табель сирот'!F46</f>
        <v>#REF!</v>
      </c>
      <c r="H4" s="170" t="e">
        <f>H62+'табель сирот'!G46</f>
        <v>#REF!</v>
      </c>
      <c r="I4" s="170" t="e">
        <f>I62+'табель сирот'!H46</f>
        <v>#REF!</v>
      </c>
      <c r="J4" s="170" t="e">
        <f>J62+'табель сирот'!I46</f>
        <v>#REF!</v>
      </c>
      <c r="K4" s="170"/>
      <c r="L4" s="170" t="e">
        <f>L62+'табель сирот'!K46</f>
        <v>#REF!</v>
      </c>
      <c r="M4" s="170"/>
      <c r="N4" s="170" t="e">
        <f>N62+'табель сирот'!M46</f>
        <v>#REF!</v>
      </c>
      <c r="O4" s="170" t="e">
        <f>O62+'табель сирот'!N46</f>
        <v>#REF!</v>
      </c>
      <c r="P4" s="170" t="e">
        <f>P62+'табель сирот'!O46</f>
        <v>#REF!</v>
      </c>
      <c r="Q4" s="170" t="e">
        <f>Q62+'табель сирот'!P46</f>
        <v>#REF!</v>
      </c>
      <c r="R4" s="170"/>
      <c r="S4" s="170" t="e">
        <f>S62+'табель сирот'!R46</f>
        <v>#REF!</v>
      </c>
      <c r="T4" s="170" t="e">
        <f>T62+'табель сирот'!S46</f>
        <v>#REF!</v>
      </c>
      <c r="U4" s="170" t="e">
        <f>U62+'табель сирот'!T46</f>
        <v>#REF!</v>
      </c>
      <c r="V4" s="170" t="e">
        <f>V62+'табель сирот'!U46</f>
        <v>#REF!</v>
      </c>
      <c r="W4" s="170" t="e">
        <f>W62+'табель сирот'!V46</f>
        <v>#REF!</v>
      </c>
      <c r="X4" s="170" t="e">
        <f>X62+'табель сирот'!W46</f>
        <v>#REF!</v>
      </c>
      <c r="Y4" s="170"/>
      <c r="Z4" s="170" t="e">
        <f>Z62+'табель сирот'!Y46</f>
        <v>#REF!</v>
      </c>
      <c r="AA4" s="170" t="e">
        <f>AA62+'табель сирот'!Z46</f>
        <v>#REF!</v>
      </c>
      <c r="AB4" s="170" t="e">
        <f>AB62+'табель сирот'!AA46</f>
        <v>#REF!</v>
      </c>
      <c r="AC4" s="170" t="e">
        <f>AC62+'табель сирот'!AB46</f>
        <v>#REF!</v>
      </c>
      <c r="AD4" s="170" t="e">
        <f>AD62+'табель сирот'!AC46</f>
        <v>#REF!</v>
      </c>
      <c r="AE4" s="170"/>
      <c r="AF4" s="170"/>
      <c r="AG4" s="170" t="e">
        <f>AG62+'табель сирот'!AD46</f>
        <v>#REF!</v>
      </c>
      <c r="AH4" s="170"/>
      <c r="AI4" s="170" t="e">
        <f>AI62+'табель сирот'!AF46</f>
        <v>#REF!</v>
      </c>
      <c r="AJ4" s="170" t="e">
        <f>AJ62+'табель сирот'!AH46</f>
        <v>#REF!</v>
      </c>
      <c r="AK4" s="170" t="e">
        <f>AK62+'табель сирот'!AI46</f>
        <v>#REF!</v>
      </c>
      <c r="AL4" s="170" t="e">
        <f>AL62+'табель сирот'!AJ46</f>
        <v>#REF!</v>
      </c>
      <c r="AM4" s="170"/>
      <c r="AN4" s="170"/>
      <c r="AO4" s="170"/>
      <c r="AP4" s="170"/>
      <c r="AQ4" s="170"/>
      <c r="AR4" s="170"/>
    </row>
    <row r="5" spans="1:50" hidden="1" outlineLevel="1" x14ac:dyDescent="0.2">
      <c r="E5" s="162" t="e">
        <f t="shared" ref="E5" si="0">SUM(E1:E4)</f>
        <v>#REF!</v>
      </c>
      <c r="F5" s="162" t="e">
        <f t="shared" ref="F5" si="1">SUM(F1:F4)</f>
        <v>#REF!</v>
      </c>
      <c r="G5" s="162" t="e">
        <f>SUM(G1:G4)</f>
        <v>#REF!</v>
      </c>
      <c r="H5" s="162" t="e">
        <f t="shared" ref="H5:I5" si="2">SUM(H1:H4)</f>
        <v>#REF!</v>
      </c>
      <c r="I5" s="162" t="e">
        <f t="shared" si="2"/>
        <v>#REF!</v>
      </c>
      <c r="J5" s="162" t="e">
        <f>SUM(J1:J4)</f>
        <v>#REF!</v>
      </c>
      <c r="K5" s="162"/>
      <c r="L5" s="162" t="e">
        <f t="shared" ref="L5" si="3">SUM(L1:L4)</f>
        <v>#REF!</v>
      </c>
      <c r="M5" s="162"/>
      <c r="N5" s="162" t="e">
        <f t="shared" ref="N5:U5" si="4">SUM(N1:N4)</f>
        <v>#REF!</v>
      </c>
      <c r="O5" s="162" t="e">
        <f t="shared" si="4"/>
        <v>#REF!</v>
      </c>
      <c r="P5" s="162" t="e">
        <f t="shared" si="4"/>
        <v>#REF!</v>
      </c>
      <c r="Q5" s="162" t="e">
        <f t="shared" si="4"/>
        <v>#REF!</v>
      </c>
      <c r="R5" s="162"/>
      <c r="S5" s="162" t="e">
        <f t="shared" si="4"/>
        <v>#REF!</v>
      </c>
      <c r="T5" s="162" t="e">
        <f t="shared" si="4"/>
        <v>#REF!</v>
      </c>
      <c r="U5" s="162" t="e">
        <f t="shared" si="4"/>
        <v>#REF!</v>
      </c>
      <c r="V5" s="162" t="e">
        <f>SUM(V1:V4)</f>
        <v>#REF!</v>
      </c>
      <c r="W5" s="162" t="e">
        <f t="shared" ref="W5:AB5" si="5">SUM(W1:W4)</f>
        <v>#REF!</v>
      </c>
      <c r="X5" s="162" t="e">
        <f t="shared" si="5"/>
        <v>#REF!</v>
      </c>
      <c r="Y5" s="162"/>
      <c r="Z5" s="162" t="e">
        <f t="shared" si="5"/>
        <v>#REF!</v>
      </c>
      <c r="AA5" s="162" t="e">
        <f t="shared" si="5"/>
        <v>#REF!</v>
      </c>
      <c r="AB5" s="162" t="e">
        <f t="shared" si="5"/>
        <v>#REF!</v>
      </c>
      <c r="AC5" s="162" t="e">
        <f>SUM(AC1:AC4)</f>
        <v>#REF!</v>
      </c>
      <c r="AD5" s="162" t="e">
        <f t="shared" ref="AD5:AL5" si="6">SUM(AD1:AD4)</f>
        <v>#REF!</v>
      </c>
      <c r="AE5" s="162"/>
      <c r="AF5" s="162"/>
      <c r="AG5" s="162" t="e">
        <f t="shared" si="6"/>
        <v>#REF!</v>
      </c>
      <c r="AH5" s="162"/>
      <c r="AI5" s="162" t="e">
        <f t="shared" si="6"/>
        <v>#REF!</v>
      </c>
      <c r="AJ5" s="162" t="e">
        <f t="shared" si="6"/>
        <v>#REF!</v>
      </c>
      <c r="AK5" s="162" t="e">
        <f t="shared" si="6"/>
        <v>#REF!</v>
      </c>
      <c r="AL5" s="162" t="e">
        <f t="shared" si="6"/>
        <v>#REF!</v>
      </c>
      <c r="AM5" s="162"/>
      <c r="AN5" s="162"/>
      <c r="AO5" s="162"/>
      <c r="AP5" s="162"/>
      <c r="AQ5" s="162"/>
      <c r="AR5" s="162"/>
    </row>
    <row r="6" spans="1:50" s="135" customFormat="1" ht="11.25" hidden="1" customHeight="1" outlineLevel="1" x14ac:dyDescent="0.2">
      <c r="A6" s="134"/>
      <c r="D6" s="136" t="s">
        <v>60</v>
      </c>
      <c r="E6" s="171">
        <f>E49+'табель сирот'!D37-E55</f>
        <v>202.72</v>
      </c>
      <c r="F6" s="171">
        <f>F48+'табель сирот'!E37-F54</f>
        <v>-37</v>
      </c>
      <c r="G6" s="171">
        <f>G48+'табель сирот'!F37-G54</f>
        <v>-35</v>
      </c>
      <c r="H6" s="171">
        <f>H48+'табель сирот'!G37-H54</f>
        <v>-43</v>
      </c>
      <c r="I6" s="171">
        <f>I48+'табель сирот'!H37-I54</f>
        <v>-33</v>
      </c>
      <c r="J6" s="171">
        <f>J48+'табель сирот'!I37-J54</f>
        <v>-23</v>
      </c>
      <c r="K6" s="171"/>
      <c r="L6" s="171">
        <f>L48+'табель сирот'!K37-L54</f>
        <v>-43</v>
      </c>
      <c r="M6" s="171"/>
      <c r="N6" s="171">
        <f>N48+'табель сирот'!M37-N54</f>
        <v>-42</v>
      </c>
      <c r="O6" s="171">
        <f>O48+'табель сирот'!N37-O54</f>
        <v>-46</v>
      </c>
      <c r="P6" s="171">
        <f>P48+'табель сирот'!O37-P54</f>
        <v>-48</v>
      </c>
      <c r="Q6" s="171">
        <f>Q48+'табель сирот'!P37-Q54</f>
        <v>-35</v>
      </c>
      <c r="R6" s="171"/>
      <c r="S6" s="171">
        <f>S48+'табель сирот'!R37-S54</f>
        <v>-38</v>
      </c>
      <c r="T6" s="171">
        <f>T48+'табель сирот'!S37-T54</f>
        <v>-44</v>
      </c>
      <c r="U6" s="171">
        <f>U48+'табель сирот'!T37-U54</f>
        <v>-41</v>
      </c>
      <c r="V6" s="171">
        <f>V48+'табель сирот'!U37-V54</f>
        <v>-40</v>
      </c>
      <c r="W6" s="171">
        <f>W48+'табель сирот'!V37-W54</f>
        <v>0</v>
      </c>
      <c r="X6" s="171">
        <f>X48+'табель сирот'!W37-X54</f>
        <v>4</v>
      </c>
      <c r="Y6" s="171"/>
      <c r="Z6" s="171">
        <f>Z48+'табель сирот'!Y37-Z54</f>
        <v>7</v>
      </c>
      <c r="AA6" s="171">
        <f>AA48+'табель сирот'!Z37-AA54</f>
        <v>8</v>
      </c>
      <c r="AB6" s="171">
        <f>AB48+'табель сирот'!AA37-AB54</f>
        <v>8</v>
      </c>
      <c r="AC6" s="171">
        <f>AC48+'табель сирот'!AB37-AC54</f>
        <v>4</v>
      </c>
      <c r="AD6" s="171">
        <f>AD48+'табель сирот'!AC37-AD54</f>
        <v>0</v>
      </c>
      <c r="AE6" s="171"/>
      <c r="AF6" s="171"/>
      <c r="AG6" s="171">
        <f>AG48+'табель сирот'!AD37-AG54</f>
        <v>5</v>
      </c>
      <c r="AH6" s="171"/>
      <c r="AI6" s="171">
        <f>AI48+'табель сирот'!AF37-AI54</f>
        <v>15</v>
      </c>
      <c r="AJ6" s="171">
        <f>AJ48+'табель сирот'!AH37-AJ54</f>
        <v>2</v>
      </c>
      <c r="AK6" s="171">
        <f>AK48+'табель сирот'!AI37-AK54</f>
        <v>0</v>
      </c>
      <c r="AL6" s="171">
        <f>AL48+'табель сирот'!AJ37-AL54</f>
        <v>0</v>
      </c>
      <c r="AM6" s="171"/>
      <c r="AN6" s="171"/>
      <c r="AO6" s="171"/>
      <c r="AP6" s="171"/>
      <c r="AQ6" s="171"/>
      <c r="AR6" s="171"/>
      <c r="AS6" s="148">
        <f>AS48+'табель сирот'!AQ37-AS54</f>
        <v>-477</v>
      </c>
      <c r="AT6" s="134"/>
      <c r="AX6" s="134"/>
    </row>
    <row r="7" spans="1:50" s="140" customFormat="1" ht="32.25" customHeight="1" collapsed="1" x14ac:dyDescent="0.25">
      <c r="A7" s="446" t="s">
        <v>146</v>
      </c>
      <c r="B7" s="447"/>
      <c r="C7" s="447"/>
      <c r="D7" s="447"/>
      <c r="E7" s="447"/>
      <c r="F7" s="447"/>
      <c r="G7" s="447"/>
      <c r="H7" s="447"/>
      <c r="I7" s="447"/>
      <c r="J7" s="447"/>
      <c r="K7" s="447"/>
      <c r="L7" s="447"/>
      <c r="M7" s="447"/>
      <c r="N7" s="447"/>
      <c r="O7" s="138"/>
      <c r="P7" s="138"/>
      <c r="Q7" s="138" t="s">
        <v>0</v>
      </c>
      <c r="R7" s="138"/>
      <c r="S7" s="426" t="s">
        <v>148</v>
      </c>
      <c r="T7" s="426"/>
      <c r="U7" s="426"/>
      <c r="V7" s="138" t="s">
        <v>115</v>
      </c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41" t="s">
        <v>26</v>
      </c>
      <c r="AT7" s="139"/>
      <c r="AX7" s="134"/>
    </row>
    <row r="8" spans="1:50" s="5" customFormat="1" ht="16.5" customHeight="1" x14ac:dyDescent="0.2">
      <c r="A8" s="4"/>
      <c r="C8" s="6"/>
      <c r="D8" s="4"/>
      <c r="AJ8" s="7"/>
      <c r="AK8" s="7"/>
      <c r="AL8" s="7"/>
      <c r="AM8" s="7"/>
      <c r="AN8" s="7"/>
      <c r="AO8" s="7"/>
      <c r="AP8" s="7"/>
      <c r="AQ8" s="7"/>
      <c r="AR8" s="7"/>
      <c r="AS8" s="137"/>
      <c r="AT8" s="4"/>
      <c r="AX8" s="172"/>
    </row>
    <row r="9" spans="1:50" s="9" customFormat="1" ht="21.75" customHeight="1" x14ac:dyDescent="0.2">
      <c r="A9" s="428" t="s">
        <v>1</v>
      </c>
      <c r="B9" s="429" t="s">
        <v>94</v>
      </c>
      <c r="C9" s="429"/>
      <c r="D9" s="242" t="s">
        <v>63</v>
      </c>
      <c r="E9" s="191">
        <v>1</v>
      </c>
      <c r="F9" s="192">
        <v>2</v>
      </c>
      <c r="G9" s="192">
        <v>3</v>
      </c>
      <c r="H9" s="192">
        <v>4</v>
      </c>
      <c r="I9" s="192">
        <v>5</v>
      </c>
      <c r="J9" s="192">
        <v>6</v>
      </c>
      <c r="K9" s="192">
        <v>7</v>
      </c>
      <c r="L9" s="192">
        <v>8</v>
      </c>
      <c r="M9" s="192">
        <v>9</v>
      </c>
      <c r="N9" s="192">
        <v>10</v>
      </c>
      <c r="O9" s="192">
        <v>11</v>
      </c>
      <c r="P9" s="192">
        <v>12</v>
      </c>
      <c r="Q9" s="192">
        <v>13</v>
      </c>
      <c r="R9" s="192">
        <v>14</v>
      </c>
      <c r="S9" s="192">
        <v>15</v>
      </c>
      <c r="T9" s="192">
        <v>16</v>
      </c>
      <c r="U9" s="192">
        <v>17</v>
      </c>
      <c r="V9" s="192">
        <v>18</v>
      </c>
      <c r="W9" s="192">
        <v>19</v>
      </c>
      <c r="X9" s="192">
        <v>20</v>
      </c>
      <c r="Y9" s="192">
        <v>21</v>
      </c>
      <c r="Z9" s="192">
        <v>22</v>
      </c>
      <c r="AA9" s="192">
        <v>23</v>
      </c>
      <c r="AB9" s="192">
        <v>24</v>
      </c>
      <c r="AC9" s="192">
        <v>25</v>
      </c>
      <c r="AD9" s="192">
        <v>26</v>
      </c>
      <c r="AE9" s="192">
        <v>27</v>
      </c>
      <c r="AF9" s="192">
        <v>28</v>
      </c>
      <c r="AG9" s="192">
        <v>29</v>
      </c>
      <c r="AH9" s="192">
        <v>30</v>
      </c>
      <c r="AI9" s="192">
        <v>31</v>
      </c>
      <c r="AJ9" s="192"/>
      <c r="AK9" s="192"/>
      <c r="AL9" s="192"/>
      <c r="AM9" s="192"/>
      <c r="AN9" s="192"/>
      <c r="AO9" s="192"/>
      <c r="AP9" s="192"/>
      <c r="AQ9" s="192"/>
      <c r="AR9" s="192"/>
      <c r="AS9" s="427" t="s">
        <v>3</v>
      </c>
      <c r="AX9" s="172"/>
    </row>
    <row r="10" spans="1:50" s="9" customFormat="1" ht="14.25" customHeight="1" x14ac:dyDescent="0.2">
      <c r="A10" s="428"/>
      <c r="B10" s="429"/>
      <c r="C10" s="429"/>
      <c r="D10" s="428" t="s">
        <v>88</v>
      </c>
      <c r="E10" s="222" t="s">
        <v>93</v>
      </c>
      <c r="F10" s="222" t="s">
        <v>93</v>
      </c>
      <c r="G10" s="222" t="s">
        <v>93</v>
      </c>
      <c r="H10" s="222" t="s">
        <v>93</v>
      </c>
      <c r="I10" s="222" t="s">
        <v>93</v>
      </c>
      <c r="J10" s="222" t="s">
        <v>93</v>
      </c>
      <c r="K10" s="222" t="s">
        <v>93</v>
      </c>
      <c r="L10" s="222" t="s">
        <v>93</v>
      </c>
      <c r="M10" s="222" t="s">
        <v>93</v>
      </c>
      <c r="N10" s="222" t="s">
        <v>93</v>
      </c>
      <c r="O10" s="222" t="s">
        <v>93</v>
      </c>
      <c r="P10" s="222" t="s">
        <v>93</v>
      </c>
      <c r="Q10" s="222" t="s">
        <v>93</v>
      </c>
      <c r="R10" s="222" t="s">
        <v>93</v>
      </c>
      <c r="S10" s="222" t="s">
        <v>93</v>
      </c>
      <c r="T10" s="222" t="s">
        <v>93</v>
      </c>
      <c r="U10" s="222" t="s">
        <v>93</v>
      </c>
      <c r="V10" s="222" t="s">
        <v>93</v>
      </c>
      <c r="W10" s="222" t="s">
        <v>93</v>
      </c>
      <c r="X10" s="222" t="s">
        <v>93</v>
      </c>
      <c r="Y10" s="222" t="s">
        <v>93</v>
      </c>
      <c r="Z10" s="222" t="s">
        <v>93</v>
      </c>
      <c r="AA10" s="222" t="s">
        <v>93</v>
      </c>
      <c r="AB10" s="222" t="s">
        <v>93</v>
      </c>
      <c r="AC10" s="222" t="s">
        <v>93</v>
      </c>
      <c r="AD10" s="222" t="s">
        <v>93</v>
      </c>
      <c r="AE10" s="222" t="s">
        <v>93</v>
      </c>
      <c r="AF10" s="222" t="s">
        <v>93</v>
      </c>
      <c r="AG10" s="222" t="s">
        <v>93</v>
      </c>
      <c r="AH10" s="222" t="s">
        <v>93</v>
      </c>
      <c r="AI10" s="222" t="s">
        <v>93</v>
      </c>
      <c r="AJ10" s="222"/>
      <c r="AK10" s="222"/>
      <c r="AL10" s="222"/>
      <c r="AM10" s="222"/>
      <c r="AN10" s="222"/>
      <c r="AO10" s="222"/>
      <c r="AP10" s="222"/>
      <c r="AQ10" s="222" t="s">
        <v>93</v>
      </c>
      <c r="AR10" s="222" t="s">
        <v>93</v>
      </c>
      <c r="AS10" s="427"/>
      <c r="AX10" s="172"/>
    </row>
    <row r="11" spans="1:50" s="6" customFormat="1" ht="39" customHeight="1" x14ac:dyDescent="0.2">
      <c r="A11" s="428"/>
      <c r="B11" s="429"/>
      <c r="C11" s="429"/>
      <c r="D11" s="428"/>
      <c r="E11" s="195">
        <v>59.93</v>
      </c>
      <c r="F11" s="195">
        <v>59.93</v>
      </c>
      <c r="G11" s="195">
        <v>59.93</v>
      </c>
      <c r="H11" s="195">
        <v>59.93</v>
      </c>
      <c r="I11" s="195">
        <v>59.93</v>
      </c>
      <c r="J11" s="195">
        <v>59.93</v>
      </c>
      <c r="K11" s="195">
        <v>59.93</v>
      </c>
      <c r="L11" s="195">
        <v>59.93</v>
      </c>
      <c r="M11" s="195">
        <v>59.93</v>
      </c>
      <c r="N11" s="195">
        <v>59.93</v>
      </c>
      <c r="O11" s="195">
        <v>59.93</v>
      </c>
      <c r="P11" s="195">
        <v>59.93</v>
      </c>
      <c r="Q11" s="195">
        <v>59.93</v>
      </c>
      <c r="R11" s="195">
        <v>59.93</v>
      </c>
      <c r="S11" s="195">
        <v>59.93</v>
      </c>
      <c r="T11" s="195">
        <v>59.93</v>
      </c>
      <c r="U11" s="195">
        <v>59.93</v>
      </c>
      <c r="V11" s="195">
        <v>59.93</v>
      </c>
      <c r="W11" s="195">
        <v>59.93</v>
      </c>
      <c r="X11" s="195">
        <v>59.93</v>
      </c>
      <c r="Y11" s="195">
        <v>59.93</v>
      </c>
      <c r="Z11" s="195">
        <v>59.93</v>
      </c>
      <c r="AA11" s="195">
        <v>59.93</v>
      </c>
      <c r="AB11" s="195">
        <v>59.93</v>
      </c>
      <c r="AC11" s="195">
        <v>59.93</v>
      </c>
      <c r="AD11" s="195">
        <v>59.93</v>
      </c>
      <c r="AE11" s="195">
        <v>59.93</v>
      </c>
      <c r="AF11" s="195">
        <v>59.93</v>
      </c>
      <c r="AG11" s="195">
        <v>59.93</v>
      </c>
      <c r="AH11" s="195">
        <v>59.93</v>
      </c>
      <c r="AI11" s="195">
        <v>59.93</v>
      </c>
      <c r="AJ11" s="196"/>
      <c r="AK11" s="196"/>
      <c r="AL11" s="196"/>
      <c r="AM11" s="196"/>
      <c r="AN11" s="196"/>
      <c r="AO11" s="196"/>
      <c r="AP11" s="196"/>
      <c r="AQ11" s="196"/>
      <c r="AR11" s="196"/>
      <c r="AS11" s="154">
        <f>SUM(E11:AR11)</f>
        <v>1857.8300000000004</v>
      </c>
      <c r="AT11" s="9"/>
      <c r="AW11" s="9" t="s">
        <v>5</v>
      </c>
      <c r="AX11" s="172"/>
    </row>
    <row r="12" spans="1:50" s="13" customFormat="1" ht="18" customHeight="1" x14ac:dyDescent="0.2">
      <c r="A12" s="158"/>
      <c r="B12" s="197"/>
      <c r="C12" s="198"/>
      <c r="D12" s="199"/>
      <c r="E12" s="200">
        <v>1</v>
      </c>
      <c r="F12" s="200"/>
      <c r="G12" s="200">
        <v>1</v>
      </c>
      <c r="H12" s="200">
        <v>1</v>
      </c>
      <c r="I12" s="200"/>
      <c r="J12" s="200">
        <v>1</v>
      </c>
      <c r="K12" s="200">
        <v>1</v>
      </c>
      <c r="L12" s="200">
        <v>1</v>
      </c>
      <c r="M12" s="200">
        <v>1</v>
      </c>
      <c r="N12" s="200"/>
      <c r="O12" s="200">
        <v>1</v>
      </c>
      <c r="P12" s="200"/>
      <c r="Q12" s="200"/>
      <c r="R12" s="200"/>
      <c r="S12" s="200">
        <v>1</v>
      </c>
      <c r="T12" s="200"/>
      <c r="U12" s="200"/>
      <c r="V12" s="200">
        <v>1</v>
      </c>
      <c r="W12" s="200"/>
      <c r="X12" s="200"/>
      <c r="Y12" s="200"/>
      <c r="Z12" s="200"/>
      <c r="AA12" s="200"/>
      <c r="AB12" s="200">
        <v>1</v>
      </c>
      <c r="AC12" s="200">
        <v>1</v>
      </c>
      <c r="AD12" s="200"/>
      <c r="AE12" s="200">
        <v>1</v>
      </c>
      <c r="AF12" s="200">
        <v>1</v>
      </c>
      <c r="AG12" s="200">
        <v>1</v>
      </c>
      <c r="AH12" s="200">
        <v>1</v>
      </c>
      <c r="AI12" s="200">
        <v>1</v>
      </c>
      <c r="AJ12" s="200"/>
      <c r="AK12" s="200"/>
      <c r="AL12" s="200"/>
      <c r="AM12" s="200"/>
      <c r="AN12" s="200"/>
      <c r="AO12" s="200"/>
      <c r="AP12" s="200"/>
      <c r="AQ12" s="200"/>
      <c r="AR12" s="200"/>
      <c r="AS12" s="150">
        <f t="shared" ref="AS12:AS47" si="7">AU12</f>
        <v>839.01999999999975</v>
      </c>
      <c r="AT12" s="12">
        <f t="shared" ref="AT12:AT47" si="8">SUM(E12:AR12)</f>
        <v>17</v>
      </c>
      <c r="AU12" s="180">
        <f>$E$11*E12+$F$11*F12+$G$11*G12+$H$11*H12+$I$11*I12+$J$11*J12+$L$11*L12+$M$11*M12+$N$11*N12+$O$11*O12+$P$11*P12+$Q$11*Q12+$S$11*S12+$T$11*T12+$U$11*U12+$V$11*V12+$W$11*W12+$X$11*X12+$Z$11*Z12+$AA$11*AA12+$AB$11*AB12+$AC$11*AC12+$AD$11*AD12+$AG$11*AG12+$AH$11*AI12+$AJ$11*AJ12+$AK$11*AK12+$AL$11*AL12+$AN$11*AN12+$AO$11*AO12+$AP$11*AP12+$AR$11*AR12+AE11*AE12</f>
        <v>839.01999999999975</v>
      </c>
      <c r="AV12" s="179"/>
      <c r="AW12" s="14"/>
      <c r="AX12" s="176"/>
    </row>
    <row r="13" spans="1:50" s="13" customFormat="1" ht="18" customHeight="1" x14ac:dyDescent="0.2">
      <c r="A13" s="158"/>
      <c r="B13" s="197"/>
      <c r="C13" s="198"/>
      <c r="D13" s="199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00"/>
      <c r="AP13" s="200"/>
      <c r="AQ13" s="200"/>
      <c r="AR13" s="200"/>
      <c r="AS13" s="150">
        <f>AU13</f>
        <v>0</v>
      </c>
      <c r="AT13" s="12">
        <f t="shared" si="8"/>
        <v>0</v>
      </c>
      <c r="AU13" s="180">
        <f>$E$11*E13+$F$11*F13+$G$11*G13+$H$11*H13+$I$11*I13+$J$11*J13+$L$11*L13+$M$11*M13+$N$11*N13+$O$11*O13+$P$11*P13+$Q$11*Q13+$S$11*S13+$T$11*T13+$U$11*U13+$V$11*V13+$W$11*W13+$X$11*X13+$Z$11*Z13+$AA$11*AA13+$AB$11*AB13+$AC$11*AC13+$AD$11*AD13+$AG$11*AG13+$AH$11*AI13+$AJ$11*AJ13+$AK$11*AK13+$AL$11*AL13+$AN$11*AN13+$AO$11*AO13+$AP$11*AP13+$AR$11*AR13+AE11*AE13</f>
        <v>0</v>
      </c>
      <c r="AV13" s="179"/>
      <c r="AW13" s="14"/>
      <c r="AX13" s="176"/>
    </row>
    <row r="14" spans="1:50" s="13" customFormat="1" ht="18" customHeight="1" x14ac:dyDescent="0.2">
      <c r="A14" s="158"/>
      <c r="B14" s="197"/>
      <c r="C14" s="198"/>
      <c r="D14" s="199"/>
      <c r="E14" s="200">
        <v>1</v>
      </c>
      <c r="F14" s="200">
        <v>1</v>
      </c>
      <c r="G14" s="200">
        <v>1</v>
      </c>
      <c r="H14" s="200">
        <v>1</v>
      </c>
      <c r="I14" s="200"/>
      <c r="J14" s="200">
        <v>1</v>
      </c>
      <c r="K14" s="200">
        <v>1</v>
      </c>
      <c r="L14" s="200">
        <v>1</v>
      </c>
      <c r="M14" s="200">
        <v>1</v>
      </c>
      <c r="N14" s="200">
        <v>1</v>
      </c>
      <c r="O14" s="200">
        <v>1</v>
      </c>
      <c r="P14" s="200"/>
      <c r="Q14" s="200">
        <v>1</v>
      </c>
      <c r="R14" s="200">
        <v>1</v>
      </c>
      <c r="S14" s="200">
        <v>1</v>
      </c>
      <c r="T14" s="200">
        <v>1</v>
      </c>
      <c r="U14" s="200">
        <v>1</v>
      </c>
      <c r="V14" s="200">
        <v>1</v>
      </c>
      <c r="W14" s="200"/>
      <c r="X14" s="200">
        <v>1</v>
      </c>
      <c r="Y14" s="200">
        <v>1</v>
      </c>
      <c r="Z14" s="200">
        <v>1</v>
      </c>
      <c r="AA14" s="200">
        <v>1</v>
      </c>
      <c r="AB14" s="200">
        <v>1</v>
      </c>
      <c r="AC14" s="200">
        <v>1</v>
      </c>
      <c r="AD14" s="200"/>
      <c r="AE14" s="200">
        <v>1</v>
      </c>
      <c r="AF14" s="200">
        <v>1</v>
      </c>
      <c r="AG14" s="200">
        <v>1</v>
      </c>
      <c r="AH14" s="200">
        <v>1</v>
      </c>
      <c r="AI14" s="200">
        <v>1</v>
      </c>
      <c r="AJ14" s="200"/>
      <c r="AK14" s="200"/>
      <c r="AL14" s="200"/>
      <c r="AM14" s="200"/>
      <c r="AN14" s="200"/>
      <c r="AO14" s="200"/>
      <c r="AP14" s="200"/>
      <c r="AQ14" s="200"/>
      <c r="AR14" s="200"/>
      <c r="AS14" s="150">
        <f t="shared" si="7"/>
        <v>1318.4599999999998</v>
      </c>
      <c r="AT14" s="12">
        <f t="shared" si="8"/>
        <v>27</v>
      </c>
      <c r="AU14" s="180">
        <f>$E$11*E14+$F$11*F14+$G$11*G14+$H$11*H14+$I$11*I14+$J$11*J14+$L$11*L14+$M$11*M14+$N$11*N14+$O$11*O14+$P$11*P14+$Q$11*Q14+$S$11*S14+$T$11*T14+$U$11*U14+$V$11*V14+$W$11*W14+$X$11*X14+$Z$11*Z14+$AA$11*AA14+$AB$11*AB14+$AC$11*AC14+$AD$11*AD14+$AG$11*AG14+$AH$11*AI14+$AJ$11*AJ14+$AK$11*AK14+$AL$11*AL14+$AN$11*AN14+$AO$11*AO14+$AP$11*AP14+$AR$11*AR14+AM11*AM14+AE11*AE14</f>
        <v>1318.4599999999998</v>
      </c>
      <c r="AV14" s="179"/>
      <c r="AW14" s="14"/>
      <c r="AX14" s="176"/>
    </row>
    <row r="15" spans="1:50" s="13" customFormat="1" ht="18" customHeight="1" x14ac:dyDescent="0.2">
      <c r="A15" s="158"/>
      <c r="B15" s="197"/>
      <c r="C15" s="198"/>
      <c r="D15" s="199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>
        <v>1</v>
      </c>
      <c r="R15" s="200">
        <v>1</v>
      </c>
      <c r="S15" s="200"/>
      <c r="T15" s="200"/>
      <c r="U15" s="200"/>
      <c r="V15" s="200"/>
      <c r="W15" s="200"/>
      <c r="X15" s="200"/>
      <c r="Y15" s="200">
        <v>1</v>
      </c>
      <c r="Z15" s="200">
        <v>1</v>
      </c>
      <c r="AA15" s="200">
        <v>1</v>
      </c>
      <c r="AB15" s="200">
        <v>1</v>
      </c>
      <c r="AC15" s="200"/>
      <c r="AD15" s="200"/>
      <c r="AE15" s="200">
        <v>1</v>
      </c>
      <c r="AF15" s="200">
        <v>1</v>
      </c>
      <c r="AG15" s="200">
        <v>1</v>
      </c>
      <c r="AH15" s="200">
        <v>1</v>
      </c>
      <c r="AI15" s="200">
        <v>1</v>
      </c>
      <c r="AJ15" s="200"/>
      <c r="AK15" s="200"/>
      <c r="AL15" s="200"/>
      <c r="AM15" s="200"/>
      <c r="AN15" s="200"/>
      <c r="AO15" s="200"/>
      <c r="AP15" s="200"/>
      <c r="AQ15" s="200"/>
      <c r="AR15" s="200"/>
      <c r="AS15" s="150">
        <f t="shared" si="7"/>
        <v>419.51</v>
      </c>
      <c r="AT15" s="12">
        <f t="shared" si="8"/>
        <v>11</v>
      </c>
      <c r="AU15" s="180">
        <f>$E$11*E15+$F$11*F15+$G$11*G15+$H$11*H15+$I$11*I15+$J$11*J15+$L$11*L15+$M$11*M15+$N$11*N15+$O$11*O15+$P$11*P15+$Q$11*Q15+$S$11*S15+$T$11*T15+$U$11*U15+$V$11*V15+$W$11*W15+$X$11*X15+$Z$11*Z15+$AA$11*AA15+$AB$11*AB15+$AC$11*AC15+$AD$11*AD15+$AG$11*AG15+$AH$11*AI15+$AJ$11*AJ15+$AK$11*AK15+$AL$11*AL15+$AN$11*AN15+$AO$11*AO15+$AP$11*AP15+$AR$11*AR15+AM11*AM15+AE15*AE11</f>
        <v>419.51</v>
      </c>
      <c r="AV15" s="179"/>
      <c r="AW15" s="14"/>
      <c r="AX15" s="176"/>
    </row>
    <row r="16" spans="1:50" s="13" customFormat="1" ht="18" customHeight="1" outlineLevel="1" x14ac:dyDescent="0.2">
      <c r="A16" s="158"/>
      <c r="B16" s="197"/>
      <c r="C16" s="198"/>
      <c r="D16" s="199"/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>
        <v>1</v>
      </c>
      <c r="AF16" s="200">
        <v>1</v>
      </c>
      <c r="AG16" s="200"/>
      <c r="AH16" s="200">
        <v>1</v>
      </c>
      <c r="AI16" s="200">
        <v>1</v>
      </c>
      <c r="AJ16" s="189"/>
      <c r="AK16" s="189"/>
      <c r="AL16" s="189"/>
      <c r="AM16" s="200"/>
      <c r="AN16" s="189"/>
      <c r="AO16" s="189"/>
      <c r="AP16" s="189"/>
      <c r="AQ16" s="189"/>
      <c r="AR16" s="189"/>
      <c r="AS16" s="150">
        <f t="shared" si="7"/>
        <v>119.86</v>
      </c>
      <c r="AT16" s="12">
        <f t="shared" si="8"/>
        <v>4</v>
      </c>
      <c r="AU16" s="180">
        <f>$E$11*E16+$F$11*F16+$G$11*G16+$H$11*H16+$I$11*I16+$J$11*J16+$L$11*L16+$M$11*M16+$N$11*N16+$O$11*O16+$P$11*P16+$Q$11*Q16+$S$11*S16+$T$11*T16+$U$11*U16+$V$11*V16+$W$11*W16+$X$11*X16+$Z$11*Z16+$AA$11*AA16+$AB$11*AB16+$AC$11*AC16+$AD$11*AD16+$AG$11*AG16+$AH$11*AI16+$AJ$11*AJ16+$AK$11*AK16+$AL$11*AL16+$AN$11*AN16+$AO$11*AO16+$AP$11*AP16+$AR$11*AR16+AE11*AE16</f>
        <v>119.86</v>
      </c>
      <c r="AV16" s="179"/>
      <c r="AW16" s="14"/>
      <c r="AX16" s="176"/>
    </row>
    <row r="17" spans="1:50" s="13" customFormat="1" ht="18" customHeight="1" outlineLevel="1" x14ac:dyDescent="0.2">
      <c r="A17" s="158"/>
      <c r="B17" s="197"/>
      <c r="C17" s="198"/>
      <c r="D17" s="199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AJ17" s="189"/>
      <c r="AK17" s="189"/>
      <c r="AL17" s="189"/>
      <c r="AM17" s="189"/>
      <c r="AN17" s="189"/>
      <c r="AO17" s="189"/>
      <c r="AP17" s="189"/>
      <c r="AQ17" s="189"/>
      <c r="AR17" s="189"/>
      <c r="AS17" s="150">
        <f t="shared" si="7"/>
        <v>479.44</v>
      </c>
      <c r="AT17" s="12">
        <f t="shared" si="8"/>
        <v>0</v>
      </c>
      <c r="AU17" s="180">
        <f>$E$11*E17+$F$11*F17+$G$11*G17+$H$11*H17+$I$11*I17+$J$11*J17+$L$11*L17+$M$11*M17+$N$11*N17+$O$11*O17+$P$11*P17+$Q$11*'табель мног обед'!Q17+$S$11*'табель мног обед'!S17+$T$11*'табель мног обед'!T17+$U$11*'табель мног обед'!U17+$V$11*'табель мног обед'!V17+$W$11*'табель мног обед'!W17+$X$11*'табель мног обед'!X17+$Z$11*'табель мног обед'!Z17+$AA$11*'табель мног обед'!AA17+$AB$11*'табель мног обед'!AB17+$AC$11*'табель мног обед'!AC17+$AD$11*'табель мног обед'!AD17+$AG$11*'табель мног обед'!AG17+$AH$11*'табель мног обед'!AI17+$AJ$11*AJ17+$AK$11*AK17+$AL$11*AL17+$AN$11*AN17+$AO$11*AO17+$AP$11*AP17+$AR$11*AR17+AE11*'табель мног обед'!AE17</f>
        <v>479.44</v>
      </c>
      <c r="AV17" s="179"/>
      <c r="AW17" s="14">
        <v>3</v>
      </c>
      <c r="AX17" s="176">
        <v>92</v>
      </c>
    </row>
    <row r="18" spans="1:50" s="13" customFormat="1" ht="18" customHeight="1" outlineLevel="1" x14ac:dyDescent="0.2">
      <c r="A18" s="158"/>
      <c r="B18" s="197"/>
      <c r="C18" s="198"/>
      <c r="D18" s="199"/>
      <c r="E18" s="200">
        <v>1</v>
      </c>
      <c r="F18" s="200">
        <v>1</v>
      </c>
      <c r="G18" s="200">
        <v>1</v>
      </c>
      <c r="H18" s="200">
        <v>1</v>
      </c>
      <c r="I18" s="200"/>
      <c r="J18" s="200">
        <v>1</v>
      </c>
      <c r="K18" s="200">
        <v>1</v>
      </c>
      <c r="L18" s="200">
        <v>1</v>
      </c>
      <c r="M18" s="200">
        <v>1</v>
      </c>
      <c r="N18" s="200">
        <v>1</v>
      </c>
      <c r="O18" s="200">
        <v>1</v>
      </c>
      <c r="P18" s="200"/>
      <c r="Q18" s="200">
        <v>1</v>
      </c>
      <c r="R18" s="200">
        <v>1</v>
      </c>
      <c r="S18" s="200">
        <v>1</v>
      </c>
      <c r="T18" s="200">
        <v>1</v>
      </c>
      <c r="U18" s="200">
        <v>1</v>
      </c>
      <c r="V18" s="200"/>
      <c r="W18" s="200"/>
      <c r="X18" s="200">
        <v>1</v>
      </c>
      <c r="Y18" s="200">
        <v>1</v>
      </c>
      <c r="Z18" s="200">
        <v>1</v>
      </c>
      <c r="AA18" s="200">
        <v>1</v>
      </c>
      <c r="AB18" s="200">
        <v>1</v>
      </c>
      <c r="AC18" s="200">
        <v>1</v>
      </c>
      <c r="AD18" s="200"/>
      <c r="AE18" s="200">
        <v>1</v>
      </c>
      <c r="AF18" s="200">
        <v>1</v>
      </c>
      <c r="AG18" s="200"/>
      <c r="AH18" s="200">
        <v>1</v>
      </c>
      <c r="AI18" s="200">
        <v>1</v>
      </c>
      <c r="AJ18" s="189"/>
      <c r="AK18" s="189"/>
      <c r="AL18" s="189"/>
      <c r="AM18" s="189"/>
      <c r="AN18" s="189"/>
      <c r="AO18" s="189"/>
      <c r="AP18" s="189"/>
      <c r="AQ18" s="189"/>
      <c r="AR18" s="189"/>
      <c r="AS18" s="150">
        <f t="shared" si="7"/>
        <v>1198.5999999999997</v>
      </c>
      <c r="AT18" s="12">
        <f t="shared" si="8"/>
        <v>25</v>
      </c>
      <c r="AU18" s="180">
        <f>$E$11*E18+$F$11*F18+$G$11*G18+$H$11*H18+$I$11*I18+$J$11*J18+$L$11*L18+$M$11*M18+$N$11*N18+$O$11*O18+$P$11*P18+$Q$11*Q18+$S$11*S18+$T$11*T18+$U$11*U18+$V$11*V18+$W$11*W18+$X$11*X18+$Z$11*Z18+$AA$11*AA18+$AB$11*AB18+$AC$11*AC18+$AD$11*AD18+$AG$11*AG18+$AH$11*AI18+$AJ$11*AJ18+$AK$11*AK18+$AL$11*AL18+$AN$11*AN18+$AO$11*AO18+$AP$11*AP18+$AR$11*AR18+AE11*AE18</f>
        <v>1198.5999999999997</v>
      </c>
      <c r="AV18" s="179"/>
      <c r="AW18" s="14"/>
      <c r="AX18" s="176"/>
    </row>
    <row r="19" spans="1:50" s="13" customFormat="1" ht="18" customHeight="1" outlineLevel="1" x14ac:dyDescent="0.2">
      <c r="A19" s="158"/>
      <c r="B19" s="197"/>
      <c r="C19" s="198"/>
      <c r="D19" s="199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>
        <v>1</v>
      </c>
      <c r="AA19" s="200"/>
      <c r="AB19" s="200"/>
      <c r="AC19" s="200"/>
      <c r="AD19" s="200"/>
      <c r="AE19" s="200"/>
      <c r="AF19" s="200"/>
      <c r="AG19" s="200"/>
      <c r="AH19" s="200"/>
      <c r="AI19" s="200"/>
      <c r="AJ19" s="189"/>
      <c r="AK19" s="189"/>
      <c r="AL19" s="189"/>
      <c r="AM19" s="189"/>
      <c r="AN19" s="189"/>
      <c r="AO19" s="189"/>
      <c r="AP19" s="189"/>
      <c r="AQ19" s="189"/>
      <c r="AR19" s="189"/>
      <c r="AS19" s="150">
        <f t="shared" si="7"/>
        <v>59.93</v>
      </c>
      <c r="AT19" s="12">
        <f t="shared" si="8"/>
        <v>1</v>
      </c>
      <c r="AU19" s="180">
        <f>$E$11*E19+$F$11*F19+$G$11*G19+$H$11*H19+$I$11*I19+$J$11*J19+$L$11*L19+$M$11*M19+$N$11*N19+$O$11*O19+$P$11*P19+$Q$11*Q19+$S$11*S19+$T$11*T19+$U$11*U19+$V$11*V19+$W$11*W19+$X$11*X19+$Z$11*Z19+$AA$11*AA19+$AB$11*AB19+$AC$11*AC19+$AD$11*AD19+$AG$11*AG19+$AH$11*AI19+$AJ$11*AJ19+$AK$11*AK19+$AL$11*AL19+$AN$11*AN19+$AO$11*AO19+$AP$11*AP19+$AR$11*AR19+AE11*AE19</f>
        <v>59.93</v>
      </c>
      <c r="AV19" s="179"/>
      <c r="AW19" s="14"/>
      <c r="AX19" s="176"/>
    </row>
    <row r="20" spans="1:50" s="13" customFormat="1" ht="18" customHeight="1" outlineLevel="1" x14ac:dyDescent="0.2">
      <c r="A20" s="158"/>
      <c r="B20" s="197"/>
      <c r="C20" s="198"/>
      <c r="D20" s="199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>
        <v>1</v>
      </c>
      <c r="AB20" s="200"/>
      <c r="AC20" s="200">
        <v>1</v>
      </c>
      <c r="AD20" s="200"/>
      <c r="AE20" s="200"/>
      <c r="AF20" s="200"/>
      <c r="AG20" s="200"/>
      <c r="AH20" s="200"/>
      <c r="AI20" s="200"/>
      <c r="AJ20" s="189"/>
      <c r="AK20" s="189"/>
      <c r="AL20" s="189"/>
      <c r="AM20" s="189"/>
      <c r="AN20" s="189"/>
      <c r="AO20" s="189"/>
      <c r="AP20" s="189"/>
      <c r="AQ20" s="189"/>
      <c r="AR20" s="189"/>
      <c r="AS20" s="150">
        <f t="shared" si="7"/>
        <v>119.86</v>
      </c>
      <c r="AT20" s="12">
        <f t="shared" si="8"/>
        <v>2</v>
      </c>
      <c r="AU20" s="180">
        <f>$E$11*E20+$F$11*F20+$G$11*G20+$H$11*H20+$I$11*I20+$J$11*J20+$L$11*L20+$M$11*M20+$N$11*N20+$O$11*O20+$P$11*P20+$Q$11*Q20+$S$11*S20+$T$11*T20+$U$11*U20+$V$11*V20+$W$11*W20+$X$11*X20+$Z$11*Z20+$AA$11*AA20+$AB$11*AB20+$AC$11*AC20+$AD$11*AD20+$AG$11*AG20+$AH$11*AI20+$AJ$11*AJ20+$AK$11*AK20+$AL$11*AL20+$AN$11*AN20+$AO$11*AO20+$AP$11*AP20+$AR$11*AR20+AE11*AE20</f>
        <v>119.86</v>
      </c>
      <c r="AV20" s="179"/>
      <c r="AW20" s="14"/>
      <c r="AX20" s="176"/>
    </row>
    <row r="21" spans="1:50" s="13" customFormat="1" ht="18" customHeight="1" outlineLevel="1" x14ac:dyDescent="0.2">
      <c r="A21" s="158"/>
      <c r="B21" s="197"/>
      <c r="C21" s="198"/>
      <c r="D21" s="199"/>
      <c r="E21" s="200">
        <v>1</v>
      </c>
      <c r="F21" s="200">
        <v>1</v>
      </c>
      <c r="G21" s="200">
        <v>1</v>
      </c>
      <c r="H21" s="200"/>
      <c r="I21" s="200"/>
      <c r="J21" s="200">
        <v>1</v>
      </c>
      <c r="K21" s="200">
        <v>1</v>
      </c>
      <c r="L21" s="200">
        <v>1</v>
      </c>
      <c r="M21" s="200">
        <v>1</v>
      </c>
      <c r="N21" s="200">
        <v>1</v>
      </c>
      <c r="O21" s="200"/>
      <c r="P21" s="200"/>
      <c r="Q21" s="200">
        <v>1</v>
      </c>
      <c r="R21" s="200">
        <v>1</v>
      </c>
      <c r="S21" s="200"/>
      <c r="T21" s="200"/>
      <c r="U21" s="200"/>
      <c r="V21" s="200"/>
      <c r="W21" s="200"/>
      <c r="X21" s="200">
        <v>1</v>
      </c>
      <c r="Y21" s="200">
        <v>1</v>
      </c>
      <c r="Z21" s="200"/>
      <c r="AA21" s="200">
        <v>1</v>
      </c>
      <c r="AB21" s="200">
        <v>1</v>
      </c>
      <c r="AC21" s="200"/>
      <c r="AD21" s="200"/>
      <c r="AE21" s="200"/>
      <c r="AF21" s="200"/>
      <c r="AG21" s="200">
        <v>1</v>
      </c>
      <c r="AH21" s="200">
        <v>1</v>
      </c>
      <c r="AI21" s="200">
        <v>1</v>
      </c>
      <c r="AJ21" s="189"/>
      <c r="AK21" s="189"/>
      <c r="AL21" s="189"/>
      <c r="AM21" s="189"/>
      <c r="AN21" s="189"/>
      <c r="AO21" s="189"/>
      <c r="AP21" s="189"/>
      <c r="AQ21" s="189"/>
      <c r="AR21" s="189"/>
      <c r="AS21" s="150">
        <f t="shared" si="7"/>
        <v>779.0899999999998</v>
      </c>
      <c r="AT21" s="12">
        <f t="shared" si="8"/>
        <v>17</v>
      </c>
      <c r="AU21" s="180">
        <f>$E$11*E21+$F$11*F21+$G$11*G21+$H$11*H21+$I$11*I21+$J$11*J21+$L$11*L21+$M$11*M21+$N$11*N21+$O$11*O21+$P$11*P21+$Q$11*Q21+$S$11*S21+$T$11*T21+$U$11*U21+$V$11*V21+$W$11*W21+$X$11*X21+$Z$11*Z21+$AA$11*AA21+$AB$11*AB21+$AC$11*AC21+$AD$11*AD21+$AG$11*AG21+$AH$11*AI21+$AJ$11*AJ21+$AK$11*AK21+$AL$11*AL21+$AN$11*AN21+$AO$11*AO21+$AP$11*AP21+$AR$11*AR21+AE11*AE21</f>
        <v>779.0899999999998</v>
      </c>
      <c r="AV21" s="179"/>
      <c r="AW21" s="14"/>
      <c r="AX21" s="176"/>
    </row>
    <row r="22" spans="1:50" s="13" customFormat="1" ht="18" customHeight="1" outlineLevel="1" x14ac:dyDescent="0.2">
      <c r="A22" s="158"/>
      <c r="B22" s="197"/>
      <c r="C22" s="198"/>
      <c r="D22" s="199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>
        <v>1</v>
      </c>
      <c r="AG22" s="200"/>
      <c r="AH22" s="200"/>
      <c r="AI22" s="200"/>
      <c r="AJ22" s="189"/>
      <c r="AK22" s="189"/>
      <c r="AL22" s="189"/>
      <c r="AM22" s="189"/>
      <c r="AN22" s="189"/>
      <c r="AO22" s="189"/>
      <c r="AP22" s="189"/>
      <c r="AQ22" s="189"/>
      <c r="AR22" s="189"/>
      <c r="AS22" s="150">
        <f t="shared" si="7"/>
        <v>0</v>
      </c>
      <c r="AT22" s="12">
        <f t="shared" si="8"/>
        <v>1</v>
      </c>
      <c r="AU22" s="180">
        <f>$E$11*E22+$F$11*F22+$G$11*G22+$H$11*H22+$I$11*I22+$J$11*J22+$L$11*L22+$M$11*M22+$N$11*N22+$O$11*O22+$P$11*P22+$Q$11*Q22+$S$11*S22+$T$11*T22+$U$11*U22+$V$11*V22+$W$11*W22+$X$11*X22+$Z$11*Z22+$AA$11*AA22+$AB$11*AB22+$AC$11*AC22+$AD$11*AD22+$AG$11*AG22+$AH$11*AI22+$AJ$11*AJ22+$AK$11*AK22+$AL$11*AL22+$AN$11*AN22+$AO$11*AO22+$AP$11*AP22+$AR$11*AR22+AE11*AE22</f>
        <v>0</v>
      </c>
      <c r="AV22" s="179"/>
      <c r="AW22" s="14"/>
      <c r="AX22" s="176"/>
    </row>
    <row r="23" spans="1:50" s="13" customFormat="1" ht="18" customHeight="1" outlineLevel="1" x14ac:dyDescent="0.2">
      <c r="A23" s="158"/>
      <c r="B23" s="197"/>
      <c r="C23" s="198"/>
      <c r="D23" s="199"/>
      <c r="E23" s="200"/>
      <c r="F23" s="200">
        <v>1</v>
      </c>
      <c r="G23" s="200">
        <v>1</v>
      </c>
      <c r="H23" s="200"/>
      <c r="I23" s="200"/>
      <c r="J23" s="200"/>
      <c r="K23" s="200">
        <v>1</v>
      </c>
      <c r="L23" s="200">
        <v>1</v>
      </c>
      <c r="M23" s="200">
        <v>1</v>
      </c>
      <c r="N23" s="200">
        <v>1</v>
      </c>
      <c r="O23" s="200"/>
      <c r="P23" s="200"/>
      <c r="Q23" s="200"/>
      <c r="R23" s="200">
        <v>1</v>
      </c>
      <c r="S23" s="200"/>
      <c r="T23" s="200">
        <v>1</v>
      </c>
      <c r="U23" s="200">
        <v>1</v>
      </c>
      <c r="V23" s="200"/>
      <c r="W23" s="200"/>
      <c r="X23" s="200"/>
      <c r="Y23" s="200">
        <v>1</v>
      </c>
      <c r="Z23" s="200">
        <v>1</v>
      </c>
      <c r="AA23" s="200">
        <v>1</v>
      </c>
      <c r="AB23" s="200">
        <v>1</v>
      </c>
      <c r="AC23" s="200"/>
      <c r="AD23" s="200"/>
      <c r="AE23" s="200">
        <v>1</v>
      </c>
      <c r="AF23" s="200"/>
      <c r="AG23" s="200"/>
      <c r="AH23" s="200">
        <v>1</v>
      </c>
      <c r="AI23" s="200">
        <v>1</v>
      </c>
      <c r="AJ23" s="189"/>
      <c r="AK23" s="189"/>
      <c r="AL23" s="189"/>
      <c r="AM23" s="189"/>
      <c r="AN23" s="189"/>
      <c r="AO23" s="189"/>
      <c r="AP23" s="189"/>
      <c r="AQ23" s="189"/>
      <c r="AR23" s="189"/>
      <c r="AS23" s="150">
        <f t="shared" si="7"/>
        <v>719.15999999999985</v>
      </c>
      <c r="AT23" s="12">
        <f t="shared" si="8"/>
        <v>16</v>
      </c>
      <c r="AU23" s="180">
        <f>$E$11*E23+$F$11*F23+$G$11*G23+$H$11*H23+$I$11*I23+$J$11*J23+$L$11*L23+$M$11*M23+$N$11*N23+$O$11*O23+$P$11*P23+$Q$11*Q23+$S$11*S23+$T$11*T23+$U$11*U23+$V$11*V23+$W$11*W23+$X$11*X23+$Z$11*Z23+$AA$11*AA23+$AB$11*AB23+$AC$11*AC23+$AD$11*AD23+$AG$11*AG23+$AH$11*AI23+$AJ$11*AJ23+$AK$11*AK23+$AL$11*AL23+$AN$11*AN23+$AO$11*AO23+$AP$11*AP23+$AR$11*AR23+AE11*AE23</f>
        <v>719.15999999999985</v>
      </c>
      <c r="AV23" s="179"/>
      <c r="AW23" s="14"/>
      <c r="AX23" s="176"/>
    </row>
    <row r="24" spans="1:50" s="13" customFormat="1" ht="18" customHeight="1" outlineLevel="1" x14ac:dyDescent="0.2">
      <c r="A24" s="158"/>
      <c r="B24" s="197"/>
      <c r="C24" s="198"/>
      <c r="D24" s="199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189"/>
      <c r="AK24" s="189"/>
      <c r="AL24" s="189"/>
      <c r="AM24" s="189"/>
      <c r="AN24" s="189"/>
      <c r="AO24" s="189"/>
      <c r="AP24" s="189"/>
      <c r="AQ24" s="189"/>
      <c r="AR24" s="189"/>
      <c r="AS24" s="150">
        <f t="shared" si="7"/>
        <v>0</v>
      </c>
      <c r="AT24" s="12">
        <f t="shared" si="8"/>
        <v>0</v>
      </c>
      <c r="AU24" s="180">
        <f>$E$11*E24+$F$11*F24+$G$11*G24+$H$11*H24+$I$11*I24+$J$11*J24+$L$11*L24+$M$11*M24+$N$11*N24+$O$11*O24+$P$11*P24+$Q$11*Q24+$S$11*S24+$T$11*T24+$U$11*U24+$V$11*V24+$W$11*W24+$X$11*X24+$Z$11*Z24+$AA$11*AA24+$AB$11*AB24+$AC$11*AC24+$AD$11*AD24+$AG$11*AG24+$AH$11*AI24+$AJ$11*AJ24+$AK$11*AK24+$AL$11*AL24+$AN$11*AN24+$AO$11*AO24+$AP$11*AP24+$AR$11*AR24+AE11*AE24</f>
        <v>0</v>
      </c>
      <c r="AV24" s="179"/>
      <c r="AW24" s="14"/>
      <c r="AX24" s="176"/>
    </row>
    <row r="25" spans="1:50" s="13" customFormat="1" ht="18" customHeight="1" outlineLevel="1" x14ac:dyDescent="0.2">
      <c r="A25" s="158"/>
      <c r="B25" s="197"/>
      <c r="C25" s="198"/>
      <c r="D25" s="199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189"/>
      <c r="AK25" s="189"/>
      <c r="AL25" s="189"/>
      <c r="AM25" s="189"/>
      <c r="AN25" s="189"/>
      <c r="AO25" s="189"/>
      <c r="AP25" s="189"/>
      <c r="AQ25" s="189"/>
      <c r="AR25" s="189"/>
      <c r="AS25" s="150">
        <f t="shared" si="7"/>
        <v>0</v>
      </c>
      <c r="AT25" s="12">
        <f t="shared" si="8"/>
        <v>0</v>
      </c>
      <c r="AU25" s="180">
        <f>$E$11*E25+$F$11*F25+$G$11*G25+$H$11*H25+$I$11*I25+$J$11*J25+$L$11*L25+$M$11*M25+$N$11*N25+$O$11*O25+$P$11*P25+$Q$11*Q25+$S$11*S25+$T$11*T25+$U$11*U25+$V$11*V25+$W$11*W25+$X$11*X25+$Z$11*Z25+$AA$11*AA25+$AB$11*AB25+$AC$11*AC25+$AD$11*AD25+$AG$11*AG25+$AH$11*AI25+$AJ$11*AJ25+$AK$11*AK25+$AL$11*AL25+$AN$11*AN25+$AO$11*AO25+$AP$11*AP25+$AR$11*AR25+AE11*AE25</f>
        <v>0</v>
      </c>
      <c r="AV25" s="179"/>
      <c r="AW25" s="14"/>
      <c r="AX25" s="176"/>
    </row>
    <row r="26" spans="1:50" s="13" customFormat="1" ht="18" customHeight="1" outlineLevel="1" x14ac:dyDescent="0.2">
      <c r="A26" s="158"/>
      <c r="B26" s="197"/>
      <c r="C26" s="198"/>
      <c r="D26" s="199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189"/>
      <c r="AK26" s="189"/>
      <c r="AL26" s="189"/>
      <c r="AM26" s="189"/>
      <c r="AN26" s="189"/>
      <c r="AO26" s="189"/>
      <c r="AP26" s="189"/>
      <c r="AQ26" s="189"/>
      <c r="AR26" s="189"/>
      <c r="AS26" s="150">
        <f t="shared" si="7"/>
        <v>0</v>
      </c>
      <c r="AT26" s="12">
        <f t="shared" si="8"/>
        <v>0</v>
      </c>
      <c r="AU26" s="180">
        <f>$E$11*E26+$F$11*F26+$G$11*G26+$H$11*H26+$I$11*I26+$J$11*J26+$L$11*L26+$M$11*M26+$N$11*N26+$O$11*O26+$P$11*P26+$Q$11*Q26+$S$11*S26+$T$11*T26+$U$11*U26+$V$11*V26+$W$11*W26+$X$11*X26+$Z$11*Z26+$AA$11*AA26+$AB$11*AB26+$AC$11*AC26+$AD$11*AD26+$AG$11*AG26+$AH$11*AI26+$AJ$11*AJ26+$AK$11*AK26+$AL$11*AL26+$AN$11*AN26+$AO$11*AO26+$AP$11*AP26+$AR$11*AR26+AE11*AE26</f>
        <v>0</v>
      </c>
      <c r="AV26" s="179"/>
      <c r="AW26" s="14"/>
      <c r="AX26" s="176"/>
    </row>
    <row r="27" spans="1:50" s="13" customFormat="1" ht="18" customHeight="1" outlineLevel="1" x14ac:dyDescent="0.2">
      <c r="A27" s="158"/>
      <c r="B27" s="197"/>
      <c r="C27" s="198"/>
      <c r="D27" s="199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189"/>
      <c r="AK27" s="189"/>
      <c r="AL27" s="189"/>
      <c r="AM27" s="189"/>
      <c r="AN27" s="189"/>
      <c r="AO27" s="189"/>
      <c r="AP27" s="189"/>
      <c r="AQ27" s="189"/>
      <c r="AR27" s="189"/>
      <c r="AS27" s="150">
        <f t="shared" si="7"/>
        <v>0</v>
      </c>
      <c r="AT27" s="12">
        <f t="shared" si="8"/>
        <v>0</v>
      </c>
      <c r="AU27" s="180">
        <f>$E$11*E27+$F$11*F27+$G$11*G27+$H$11*H27+$I$11*I27+$J$11*J27+$L$11*L27+$M$11*M27+$N$11*N27+$O$11*O27+$P$11*P27+$Q$11*Q27+$S$11*S27+$T$11*T27+$U$11*U27+$V$11*V27+$W$11*W27+$X$11*X27+$Z$11*Z27+$AA$11*AA27+$AB$11*AB27+$AC$11*AC27+$AD$11*AD27+$AG$11*AG27+$AH$11*AI27+$AJ$11*AJ27+$AK$11*AK27+$AL$11*AL27+$AN$11*AN27+$AO$11*AO27+$AP$11*AP27+$AR$11*AR27+AE11*AE27</f>
        <v>0</v>
      </c>
      <c r="AV27" s="179"/>
      <c r="AW27" s="14"/>
      <c r="AX27" s="176"/>
    </row>
    <row r="28" spans="1:50" s="13" customFormat="1" ht="18" customHeight="1" outlineLevel="1" x14ac:dyDescent="0.2">
      <c r="A28" s="158"/>
      <c r="B28" s="197"/>
      <c r="C28" s="198"/>
      <c r="D28" s="199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189"/>
      <c r="AK28" s="189"/>
      <c r="AL28" s="189"/>
      <c r="AM28" s="189"/>
      <c r="AN28" s="189"/>
      <c r="AO28" s="189"/>
      <c r="AP28" s="189"/>
      <c r="AQ28" s="189"/>
      <c r="AR28" s="189"/>
      <c r="AS28" s="150">
        <f t="shared" si="7"/>
        <v>0</v>
      </c>
      <c r="AT28" s="12">
        <f t="shared" si="8"/>
        <v>0</v>
      </c>
      <c r="AU28" s="180">
        <f>$E$11*E28+$F$11*F28+$G$11*G28+$H$11*H28+$I$11*I28+$J$11*J28+$L$11*L28+$M$11*M28+$N$11*N28+$O$11*O28+$P$11*P28+$Q$11*Q28+$S$11*S28+$T$11*T28+$U$11*U28+$V$11*V28+$W$11*W28+$X$11*X28+$Z$11*Z28+$AA$11*AA28+$AB$11*AB28+$AC$11*AC28+$AD$11*AD28+$AG$11*AG28+$AH$11*AI28+$AJ$11*AJ28+$AK$11*AK28+$AL$11*AL28+$AN$11*AN28+$AO$11*AO28+$AP$11*AP28+$AR$11*AR28+AE11*AE28</f>
        <v>0</v>
      </c>
      <c r="AV28" s="179"/>
      <c r="AW28" s="14"/>
      <c r="AX28" s="176"/>
    </row>
    <row r="29" spans="1:50" s="13" customFormat="1" ht="18" customHeight="1" outlineLevel="1" x14ac:dyDescent="0.2">
      <c r="A29" s="158"/>
      <c r="B29" s="197"/>
      <c r="C29" s="198"/>
      <c r="D29" s="199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189"/>
      <c r="AK29" s="189"/>
      <c r="AL29" s="189"/>
      <c r="AM29" s="189"/>
      <c r="AN29" s="189"/>
      <c r="AO29" s="189"/>
      <c r="AP29" s="189"/>
      <c r="AQ29" s="189"/>
      <c r="AR29" s="189"/>
      <c r="AS29" s="150">
        <f t="shared" si="7"/>
        <v>0</v>
      </c>
      <c r="AT29" s="12">
        <f t="shared" si="8"/>
        <v>0</v>
      </c>
      <c r="AU29" s="180">
        <f>$E$11*E29+$F$11*F29+$G$11*G29+$H$11*H29+$I$11*I29+$J$11*J29+$L$11*L29+$M$11*M29+$N$11*N29+$O$11*O29+$P$11*P29+$Q$11*Q29+$S$11*S29+$T$11*T29+$U$11*U29+$V$11*V29+$W$11*W29+$X$11*X29+$Z$11*Z29+$AA$11*AA29+$AB$11*AB29+$AC$11*AC29+$AD$11*AD29+$AG$11*AG29+$AH$11*AI29+$AJ$11*AJ29+$AK$11*AK29+$AL$11*AL29+$AN$11*AN29+$AO$11*AO29+$AP$11*AP29+$AR$11*AR29+AE11*AE29</f>
        <v>0</v>
      </c>
      <c r="AV29" s="179"/>
      <c r="AW29" s="14"/>
      <c r="AX29" s="176"/>
    </row>
    <row r="30" spans="1:50" s="13" customFormat="1" ht="18" customHeight="1" outlineLevel="1" x14ac:dyDescent="0.2">
      <c r="A30" s="158"/>
      <c r="B30" s="197"/>
      <c r="C30" s="198"/>
      <c r="D30" s="199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189"/>
      <c r="AK30" s="189"/>
      <c r="AL30" s="189"/>
      <c r="AM30" s="189"/>
      <c r="AN30" s="189"/>
      <c r="AO30" s="189"/>
      <c r="AP30" s="189"/>
      <c r="AQ30" s="189"/>
      <c r="AR30" s="189"/>
      <c r="AS30" s="150">
        <f t="shared" si="7"/>
        <v>0</v>
      </c>
      <c r="AT30" s="12">
        <f t="shared" si="8"/>
        <v>0</v>
      </c>
      <c r="AU30" s="180">
        <f>$E$11*E30+$F$11*F30+$G$11*G30+$H$11*H30+$I$11*I30+$J$11*J30+$L$11*L30+$M$11*M30+$N$11*N30+$O$11*O30+$P$11*P30+$Q$11*Q30+$S$11*S30+$T$11*T30+$U$11*U30+$V$11*V30+$W$11*W30+$X$11*X30+$Z$11*Z30+$AA$11*AA30+$AB$11*AB30+$AC$11*AC30+$AD$11*AD30+$AG$11*AG30+$AH$11*AI30+$AJ$11*AJ30+$AK$11*AK30+$AL$11*AL30+$AN$11*AN30+$AO$11*AO30+$AP$11*AP30+$AR$11*AR30+AE11*AE30</f>
        <v>0</v>
      </c>
      <c r="AV30" s="179"/>
      <c r="AW30" s="14"/>
      <c r="AX30" s="176"/>
    </row>
    <row r="31" spans="1:50" s="13" customFormat="1" ht="18" customHeight="1" outlineLevel="1" x14ac:dyDescent="0.2">
      <c r="A31" s="158"/>
      <c r="B31" s="197"/>
      <c r="C31" s="198"/>
      <c r="D31" s="199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189"/>
      <c r="AK31" s="189"/>
      <c r="AL31" s="189"/>
      <c r="AM31" s="189"/>
      <c r="AN31" s="189"/>
      <c r="AO31" s="189"/>
      <c r="AP31" s="189"/>
      <c r="AQ31" s="189"/>
      <c r="AR31" s="189"/>
      <c r="AS31" s="150">
        <f t="shared" si="7"/>
        <v>0</v>
      </c>
      <c r="AT31" s="12">
        <f t="shared" si="8"/>
        <v>0</v>
      </c>
      <c r="AU31" s="180">
        <f>$E$11*E31+$F$11*F31+$G$11*G31+$H$11*H31+$I$11*I31+$J$11*J31+$L$11*L31+$M$11*M31+$N$11*N31+$O$11*O31+$P$11*P31+$Q$11*Q31+$S$11*S31+$T$11*T31+$U$11*U31+$V$11*V31+$W$11*W31+$X$11*X31+$Z$11*Z31+$AA$11*AA31+$AB$11*AB31+$AC$11*AC31+$AD$11*AD31+$AG$11*AG31+$AH$11*AI31+$AJ$11*AJ31+$AK$11*AK31+$AL$11*AL31+$AN$11*AN31+$AO$11*AO31+$AP$11*AP31+$AR$11*AR31+AE11*AE31</f>
        <v>0</v>
      </c>
      <c r="AV31" s="179"/>
      <c r="AW31" s="14"/>
      <c r="AX31" s="176"/>
    </row>
    <row r="32" spans="1:50" s="13" customFormat="1" ht="18" customHeight="1" outlineLevel="1" x14ac:dyDescent="0.2">
      <c r="A32" s="158"/>
      <c r="B32" s="197"/>
      <c r="C32" s="198"/>
      <c r="D32" s="199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189"/>
      <c r="AK32" s="189"/>
      <c r="AL32" s="189"/>
      <c r="AM32" s="189"/>
      <c r="AN32" s="189"/>
      <c r="AO32" s="189"/>
      <c r="AP32" s="189"/>
      <c r="AQ32" s="189"/>
      <c r="AR32" s="189"/>
      <c r="AS32" s="150">
        <f t="shared" si="7"/>
        <v>0</v>
      </c>
      <c r="AT32" s="12">
        <f t="shared" si="8"/>
        <v>0</v>
      </c>
      <c r="AU32" s="180">
        <f>$E$11*E32+$F$11*F32+$G$11*G32+$H$11*H32+$I$11*I32+$J$11*J32+$L$11*L32+$M$11*M32+$N$11*N32+$O$11*O32+$P$11*P32+$Q$11*Q32+$S$11*S32+$T$11*T32+$U$11*U32+$V$11*V32+$W$11*W32+$X$11*X32+$Z$11*Z32+$AA$11*AA32+$AB$11*AB32+$AC$11*AC32+$AD$11*AD32+$AG$11*AG32+$AH$11*AI32+$AJ$11*AJ32+$AK$11*AK32+$AL$11*AL32+$AN$11*AN32+$AO$11*AO32+$AP$11*AP32+$AR$11*AR32+AE11*AE32</f>
        <v>0</v>
      </c>
      <c r="AV32" s="179"/>
      <c r="AW32" s="14"/>
      <c r="AX32" s="176"/>
    </row>
    <row r="33" spans="1:50" s="13" customFormat="1" ht="18" customHeight="1" outlineLevel="1" x14ac:dyDescent="0.2">
      <c r="A33" s="158"/>
      <c r="B33" s="197"/>
      <c r="C33" s="198"/>
      <c r="D33" s="199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>
        <v>1</v>
      </c>
      <c r="AJ33" s="189"/>
      <c r="AK33" s="189"/>
      <c r="AL33" s="189"/>
      <c r="AM33" s="189"/>
      <c r="AN33" s="189"/>
      <c r="AO33" s="189"/>
      <c r="AP33" s="189"/>
      <c r="AQ33" s="189"/>
      <c r="AR33" s="189"/>
      <c r="AS33" s="150">
        <f t="shared" si="7"/>
        <v>59.93</v>
      </c>
      <c r="AT33" s="12">
        <f t="shared" si="8"/>
        <v>1</v>
      </c>
      <c r="AU33" s="180">
        <f>$E$11*E33+$F$11*F33+$G$11*G33+$H$11*H33+$I$11*I33+$J$11*J33+$L$11*L33+$M$11*M33+$N$11*N33+$O$11*O33+$P$11*P33+$Q$11*Q33+$S$11*S33+$T$11*T33+$U$11*U33+$V$11*V33+$W$11*W33+$X$11*X33+$Z$11*Z33+$AA$11*AA33+$AB$11*AB33+$AC$11*AC33+$AD$11*AD33+$AG$11*AG33+$AH$11*AI33+$AJ$11*AJ33+$AK$11*AK33+$AL$11*AL33+$AN$11*AN33+$AO$11*AO33+$AP$11*AP33+$AR$11*AR33</f>
        <v>59.93</v>
      </c>
      <c r="AV33" s="179"/>
      <c r="AW33" s="14"/>
      <c r="AX33" s="176"/>
    </row>
    <row r="34" spans="1:50" s="13" customFormat="1" ht="18" customHeight="1" outlineLevel="1" x14ac:dyDescent="0.2">
      <c r="A34" s="158"/>
      <c r="B34" s="197"/>
      <c r="C34" s="198"/>
      <c r="D34" s="199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>
        <v>1</v>
      </c>
      <c r="AJ34" s="189"/>
      <c r="AK34" s="189"/>
      <c r="AL34" s="189"/>
      <c r="AM34" s="189"/>
      <c r="AN34" s="189"/>
      <c r="AO34" s="189"/>
      <c r="AP34" s="189"/>
      <c r="AQ34" s="189"/>
      <c r="AR34" s="189"/>
      <c r="AS34" s="150">
        <f t="shared" si="7"/>
        <v>59.93</v>
      </c>
      <c r="AT34" s="12">
        <f t="shared" si="8"/>
        <v>1</v>
      </c>
      <c r="AU34" s="180">
        <f>$E$11*E34+$F$11*F34+$G$11*G34+$H$11*H34+$I$11*I34+$J$11*J34+$L$11*L34+$M$11*M34+$N$11*N34+$O$11*O34+$P$11*P34+$Q$11*Q34+$S$11*S34+$T$11*T34+$U$11*U34+$V$11*V34+$W$11*W34+$X$11*X34+$Z$11*Z34+$AA$11*AA34+$AB$11*AB34+$AC$11*AC34+$AD$11*AD34+$AG$11*AG34+$AH$11*AI34+$AJ$11*AJ34+$AK$11*AK34+$AL$11*AL34+$AN$11*AN34+$AO$11*AO34+$AP$11*AP34+$AR$11*AR34+AE11*AE34</f>
        <v>59.93</v>
      </c>
      <c r="AV34" s="179"/>
      <c r="AW34" s="14"/>
      <c r="AX34" s="176"/>
    </row>
    <row r="35" spans="1:50" s="13" customFormat="1" ht="18" customHeight="1" outlineLevel="1" x14ac:dyDescent="0.2">
      <c r="A35" s="158"/>
      <c r="B35" s="197"/>
      <c r="C35" s="198"/>
      <c r="D35" s="199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>
        <v>1</v>
      </c>
      <c r="AJ35" s="189"/>
      <c r="AK35" s="189"/>
      <c r="AL35" s="189"/>
      <c r="AM35" s="189"/>
      <c r="AN35" s="189"/>
      <c r="AO35" s="189"/>
      <c r="AP35" s="189"/>
      <c r="AQ35" s="189"/>
      <c r="AR35" s="189"/>
      <c r="AS35" s="150">
        <f t="shared" si="7"/>
        <v>59.93</v>
      </c>
      <c r="AT35" s="12">
        <f t="shared" si="8"/>
        <v>1</v>
      </c>
      <c r="AU35" s="180">
        <f>$E$11*E35+$F$11*F35+$G$11*G35+$H$11*H35+$I$11*I35+$J$11*J35+$L$11*L35+$M$11*M35+$N$11*N35+$O$11*O35+$P$11*P35+$Q$11*Q35+$S$11*S35+$T$11*T35+$U$11*U35+$V$11*V35+$W$11*W35+$X$11*X35+$Z$11*Z35+$AA$11*AA35+$AB$11*AB35+$AC$11*AC35+$AD$11*AD35+$AG$11*AG35+$AH$11*AI35+$AJ$11*AJ35+$AK$11*AK35+$AL$11*AL35+$AN$11*AN35+$AO$11*AO35+$AP$11*AP35+$AR$11*AR35</f>
        <v>59.93</v>
      </c>
      <c r="AV35" s="179"/>
      <c r="AW35" s="14"/>
      <c r="AX35" s="176"/>
    </row>
    <row r="36" spans="1:50" s="13" customFormat="1" ht="18" customHeight="1" outlineLevel="1" x14ac:dyDescent="0.2">
      <c r="A36" s="158"/>
      <c r="B36" s="197"/>
      <c r="C36" s="198"/>
      <c r="D36" s="199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189"/>
      <c r="AK36" s="189"/>
      <c r="AL36" s="189"/>
      <c r="AM36" s="189"/>
      <c r="AN36" s="189"/>
      <c r="AO36" s="189"/>
      <c r="AP36" s="189"/>
      <c r="AQ36" s="189"/>
      <c r="AR36" s="189"/>
      <c r="AS36" s="150">
        <f t="shared" si="7"/>
        <v>0</v>
      </c>
      <c r="AT36" s="12">
        <f t="shared" si="8"/>
        <v>0</v>
      </c>
      <c r="AU36" s="180">
        <f>$E$11*E36+$F$11*F36+$G$11*G36+$H$11*H36+$I$11*I36+$J$11*J36+$L$11*L36+$M$11*M36+$N$11*N36+$O$11*O36+$P$11*P36+$Q$11*Q36+$S$11*S36+$T$11*T36+$U$11*U36+$V$11*V36+$W$11*W36+$X$11*X36+$Z$11*Z36+$AA$11*AA36+$AB$11*AB36+$AC$11*AC36+$AD$11*AD36+$AG$11*AG36+$AH$11*AI36+$AJ$11*AJ36+$AK$11*AK36+$AL$11*AL36+$AN$11*AN36+$AO$11*AO36+$AP$11*AP36+$AR$11*AR36</f>
        <v>0</v>
      </c>
      <c r="AV36" s="179"/>
      <c r="AW36" s="14"/>
      <c r="AX36" s="176"/>
    </row>
    <row r="37" spans="1:50" s="13" customFormat="1" ht="18" customHeight="1" outlineLevel="2" x14ac:dyDescent="0.2">
      <c r="A37" s="158"/>
      <c r="B37" s="197"/>
      <c r="C37" s="198"/>
      <c r="D37" s="199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>
        <v>1</v>
      </c>
      <c r="AJ37" s="189"/>
      <c r="AK37" s="189"/>
      <c r="AL37" s="189"/>
      <c r="AM37" s="189"/>
      <c r="AN37" s="189"/>
      <c r="AO37" s="189"/>
      <c r="AP37" s="189"/>
      <c r="AQ37" s="189"/>
      <c r="AR37" s="189"/>
      <c r="AS37" s="150">
        <f>AU37</f>
        <v>59.93</v>
      </c>
      <c r="AT37" s="12">
        <f t="shared" si="8"/>
        <v>1</v>
      </c>
      <c r="AU37" s="180">
        <f>$E$11*E37+$F$11*F37+$G$11*G37+$H$11*H37+$I$11*I37+$J$11*J37+$L$11*L37+$M$11*M37+$N$11*N37+$O$11*O37+$P$11*P37+$Q$11*Q37+$S$11*S37+$T$11*T37+$U$11*U37+$V$11*V37+$W$11*W37+$X$11*X37+$Z$11*Z37+$AA$11*AA37+$AB$11*AB37+$AC$11*AC37+$AD$11*AD37+$AG$11*AG37+$AH$11*AI37+$AJ$11*AJ37+$AK$11*AK37+$AL$11*AL37+$AN$11*AN37+$AO$11*AO37+$AP$11*AP37+$AR$11*AR37+AE11*AE37</f>
        <v>59.93</v>
      </c>
      <c r="AV37" s="179"/>
      <c r="AW37" s="14"/>
      <c r="AX37" s="176"/>
    </row>
    <row r="38" spans="1:50" s="13" customFormat="1" ht="18" customHeight="1" outlineLevel="2" x14ac:dyDescent="0.2">
      <c r="A38" s="158"/>
      <c r="B38" s="197"/>
      <c r="C38" s="198"/>
      <c r="D38" s="199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>
        <v>1</v>
      </c>
      <c r="AJ38" s="189"/>
      <c r="AK38" s="189"/>
      <c r="AL38" s="189"/>
      <c r="AM38" s="189"/>
      <c r="AN38" s="189"/>
      <c r="AO38" s="189"/>
      <c r="AP38" s="189"/>
      <c r="AQ38" s="189"/>
      <c r="AR38" s="189"/>
      <c r="AS38" s="150">
        <f t="shared" si="7"/>
        <v>59.93</v>
      </c>
      <c r="AT38" s="12">
        <f t="shared" si="8"/>
        <v>1</v>
      </c>
      <c r="AU38" s="180">
        <f>$E$11*E38+$F$11*F38+$G$11*G38+$H$11*H38+$I$11*I38+$J$11*J38+$L$11*L38+$M$11*M38+$N$11*N38+$O$11*O38+$P$11*P38+$Q$11*Q38+$S$11*S38+$T$11*T38+$U$11*U38+$V$11*V38+$W$11*W38+$X$11*X38+$Z$11*Z38+$AA$11*AA38+$AB$11*AB38+$AC$11*AC38+$AD$11*AD38+$AG$11*AG38+$AH$11*AI38+$AJ$11*AJ38+$AK$11*AK38+$AL$11*AL38+$AN$11*AN38+$AO$11*AO38+$AP$11*AP38+$AR$11*AR38+AE11*AE38</f>
        <v>59.93</v>
      </c>
      <c r="AV38" s="179"/>
      <c r="AW38" s="14"/>
      <c r="AX38" s="176"/>
    </row>
    <row r="39" spans="1:50" s="13" customFormat="1" ht="18" hidden="1" customHeight="1" outlineLevel="2" x14ac:dyDescent="0.2">
      <c r="A39" s="158"/>
      <c r="B39" s="197"/>
      <c r="C39" s="198"/>
      <c r="D39" s="199">
        <f>'табель мног обед'!D21</f>
        <v>0</v>
      </c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189"/>
      <c r="AK39" s="189"/>
      <c r="AL39" s="189"/>
      <c r="AM39" s="189"/>
      <c r="AN39" s="189"/>
      <c r="AO39" s="189"/>
      <c r="AP39" s="189"/>
      <c r="AQ39" s="189"/>
      <c r="AR39" s="189"/>
      <c r="AS39" s="150">
        <f t="shared" si="7"/>
        <v>0</v>
      </c>
      <c r="AT39" s="12">
        <f t="shared" si="8"/>
        <v>0</v>
      </c>
      <c r="AU39" s="180">
        <f t="shared" ref="AU39:AU47" si="9">$E$11*E39+$F$11*F39+$G$11*G39+$H$11*H39+$I$11*I39+$J$11*J39+$L$11*L39+$M$11*M39+$N$11*N39+$O$11*O39+$P$11*P39+$Q$11*Q39+$S$11*S39+$T$11*T39+$U$11*U39+$V$11*V39+$W$11*W39+$X$11*X39+$Z$11*Z39+$AA$11*AA39+$AB$11*AB39+$AC$11*AC39+$AD$11*AD39+$AG$11*AG39+$AH$11*AI39+$AJ$11*AJ39+$AK$11*AK39+$AL$11*AL39+$AN$11*AN39+$AO$11*AO39+$AP$11*AP39+$AR$11*AR39</f>
        <v>0</v>
      </c>
      <c r="AV39" s="179"/>
      <c r="AW39" s="14"/>
      <c r="AX39" s="176"/>
    </row>
    <row r="40" spans="1:50" s="13" customFormat="1" ht="18" hidden="1" customHeight="1" outlineLevel="2" x14ac:dyDescent="0.2">
      <c r="A40" s="158"/>
      <c r="B40" s="197"/>
      <c r="C40" s="198"/>
      <c r="D40" s="199">
        <f>'табель мног обед'!D22</f>
        <v>0</v>
      </c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189"/>
      <c r="AK40" s="189"/>
      <c r="AL40" s="189"/>
      <c r="AM40" s="189"/>
      <c r="AN40" s="189"/>
      <c r="AO40" s="189"/>
      <c r="AP40" s="189"/>
      <c r="AQ40" s="189"/>
      <c r="AR40" s="189"/>
      <c r="AS40" s="150">
        <f t="shared" si="7"/>
        <v>0</v>
      </c>
      <c r="AT40" s="12">
        <f t="shared" si="8"/>
        <v>0</v>
      </c>
      <c r="AU40" s="180">
        <f t="shared" si="9"/>
        <v>0</v>
      </c>
      <c r="AV40" s="179"/>
      <c r="AW40" s="14"/>
      <c r="AX40" s="176"/>
    </row>
    <row r="41" spans="1:50" s="13" customFormat="1" ht="18" hidden="1" customHeight="1" outlineLevel="2" x14ac:dyDescent="0.2">
      <c r="A41" s="158"/>
      <c r="B41" s="197"/>
      <c r="C41" s="198"/>
      <c r="D41" s="199">
        <f>'табель мног обед'!D23</f>
        <v>0</v>
      </c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189"/>
      <c r="AK41" s="189"/>
      <c r="AL41" s="189"/>
      <c r="AM41" s="189"/>
      <c r="AN41" s="189"/>
      <c r="AO41" s="189"/>
      <c r="AP41" s="189"/>
      <c r="AQ41" s="189"/>
      <c r="AR41" s="189"/>
      <c r="AS41" s="150">
        <f t="shared" si="7"/>
        <v>0</v>
      </c>
      <c r="AT41" s="12">
        <f t="shared" si="8"/>
        <v>0</v>
      </c>
      <c r="AU41" s="180">
        <f t="shared" si="9"/>
        <v>0</v>
      </c>
      <c r="AV41" s="179"/>
      <c r="AW41" s="14"/>
      <c r="AX41" s="176"/>
    </row>
    <row r="42" spans="1:50" s="13" customFormat="1" ht="18" hidden="1" customHeight="1" outlineLevel="2" x14ac:dyDescent="0.2">
      <c r="A42" s="158"/>
      <c r="B42" s="197"/>
      <c r="C42" s="198"/>
      <c r="D42" s="199">
        <f>'табель мног обед'!D24</f>
        <v>0</v>
      </c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189"/>
      <c r="AK42" s="189"/>
      <c r="AL42" s="189"/>
      <c r="AM42" s="189"/>
      <c r="AN42" s="189"/>
      <c r="AO42" s="189"/>
      <c r="AP42" s="189"/>
      <c r="AQ42" s="189"/>
      <c r="AR42" s="189"/>
      <c r="AS42" s="150">
        <f t="shared" si="7"/>
        <v>0</v>
      </c>
      <c r="AT42" s="12">
        <f t="shared" si="8"/>
        <v>0</v>
      </c>
      <c r="AU42" s="180">
        <f t="shared" si="9"/>
        <v>0</v>
      </c>
      <c r="AV42" s="179"/>
      <c r="AW42" s="14"/>
      <c r="AX42" s="176"/>
    </row>
    <row r="43" spans="1:50" s="13" customFormat="1" ht="18" hidden="1" customHeight="1" outlineLevel="2" x14ac:dyDescent="0.2">
      <c r="A43" s="158"/>
      <c r="B43" s="197"/>
      <c r="C43" s="198"/>
      <c r="D43" s="199">
        <f>'табель мног обед'!D25</f>
        <v>0</v>
      </c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189"/>
      <c r="AK43" s="189"/>
      <c r="AL43" s="189"/>
      <c r="AM43" s="189"/>
      <c r="AN43" s="189"/>
      <c r="AO43" s="189"/>
      <c r="AP43" s="189"/>
      <c r="AQ43" s="189"/>
      <c r="AR43" s="189"/>
      <c r="AS43" s="150">
        <f t="shared" si="7"/>
        <v>0</v>
      </c>
      <c r="AT43" s="12">
        <f t="shared" si="8"/>
        <v>0</v>
      </c>
      <c r="AU43" s="180">
        <f t="shared" si="9"/>
        <v>0</v>
      </c>
      <c r="AV43" s="179"/>
      <c r="AW43" s="14"/>
      <c r="AX43" s="176"/>
    </row>
    <row r="44" spans="1:50" s="13" customFormat="1" ht="18" hidden="1" customHeight="1" outlineLevel="2" x14ac:dyDescent="0.2">
      <c r="A44" s="158"/>
      <c r="B44" s="197"/>
      <c r="C44" s="198"/>
      <c r="D44" s="199">
        <f>'табель мног обед'!D26</f>
        <v>0</v>
      </c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189"/>
      <c r="AK44" s="189"/>
      <c r="AL44" s="189"/>
      <c r="AM44" s="189"/>
      <c r="AN44" s="189"/>
      <c r="AO44" s="189"/>
      <c r="AP44" s="189"/>
      <c r="AQ44" s="189"/>
      <c r="AR44" s="189"/>
      <c r="AS44" s="150">
        <f t="shared" si="7"/>
        <v>0</v>
      </c>
      <c r="AT44" s="12">
        <f t="shared" si="8"/>
        <v>0</v>
      </c>
      <c r="AU44" s="180">
        <f t="shared" si="9"/>
        <v>0</v>
      </c>
      <c r="AV44" s="179"/>
      <c r="AW44" s="14"/>
      <c r="AX44" s="176"/>
    </row>
    <row r="45" spans="1:50" s="13" customFormat="1" ht="18" hidden="1" customHeight="1" outlineLevel="2" x14ac:dyDescent="0.2">
      <c r="A45" s="158"/>
      <c r="B45" s="197"/>
      <c r="C45" s="198"/>
      <c r="D45" s="199">
        <f>'табель мног обед'!D27</f>
        <v>0</v>
      </c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189"/>
      <c r="AK45" s="189"/>
      <c r="AL45" s="189"/>
      <c r="AM45" s="189"/>
      <c r="AN45" s="189"/>
      <c r="AO45" s="189"/>
      <c r="AP45" s="189"/>
      <c r="AQ45" s="189"/>
      <c r="AR45" s="189"/>
      <c r="AS45" s="150">
        <f t="shared" si="7"/>
        <v>0</v>
      </c>
      <c r="AT45" s="12">
        <f t="shared" si="8"/>
        <v>0</v>
      </c>
      <c r="AU45" s="180">
        <f t="shared" si="9"/>
        <v>0</v>
      </c>
      <c r="AV45" s="179"/>
      <c r="AW45" s="14"/>
      <c r="AX45" s="176"/>
    </row>
    <row r="46" spans="1:50" s="13" customFormat="1" ht="18" hidden="1" customHeight="1" outlineLevel="2" x14ac:dyDescent="0.2">
      <c r="A46" s="158"/>
      <c r="B46" s="197"/>
      <c r="C46" s="198"/>
      <c r="D46" s="199">
        <f>'табель мног обед'!D28</f>
        <v>0</v>
      </c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189"/>
      <c r="AK46" s="189"/>
      <c r="AL46" s="189"/>
      <c r="AM46" s="189"/>
      <c r="AN46" s="189"/>
      <c r="AO46" s="189"/>
      <c r="AP46" s="189"/>
      <c r="AQ46" s="189"/>
      <c r="AR46" s="189"/>
      <c r="AS46" s="150">
        <f t="shared" si="7"/>
        <v>0</v>
      </c>
      <c r="AT46" s="12">
        <f t="shared" si="8"/>
        <v>0</v>
      </c>
      <c r="AU46" s="180">
        <f t="shared" si="9"/>
        <v>0</v>
      </c>
      <c r="AV46" s="179"/>
      <c r="AW46" s="14"/>
      <c r="AX46" s="176"/>
    </row>
    <row r="47" spans="1:50" s="13" customFormat="1" ht="18" hidden="1" customHeight="1" outlineLevel="2" x14ac:dyDescent="0.2">
      <c r="A47" s="158"/>
      <c r="B47" s="197"/>
      <c r="C47" s="198"/>
      <c r="D47" s="199">
        <f>'табель мног обед'!D29</f>
        <v>0</v>
      </c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189"/>
      <c r="AK47" s="189"/>
      <c r="AL47" s="189"/>
      <c r="AM47" s="189"/>
      <c r="AN47" s="189"/>
      <c r="AO47" s="189"/>
      <c r="AP47" s="189"/>
      <c r="AQ47" s="189"/>
      <c r="AR47" s="189"/>
      <c r="AS47" s="150">
        <f t="shared" si="7"/>
        <v>0</v>
      </c>
      <c r="AT47" s="12">
        <f t="shared" si="8"/>
        <v>0</v>
      </c>
      <c r="AU47" s="180">
        <f t="shared" si="9"/>
        <v>0</v>
      </c>
      <c r="AV47" s="179"/>
      <c r="AW47" s="14"/>
      <c r="AX47" s="176"/>
    </row>
    <row r="48" spans="1:50" s="46" customFormat="1" ht="17.25" customHeight="1" collapsed="1" x14ac:dyDescent="0.2">
      <c r="A48" s="427" t="s">
        <v>68</v>
      </c>
      <c r="B48" s="427"/>
      <c r="C48" s="201"/>
      <c r="D48" s="202"/>
      <c r="E48" s="202">
        <f t="shared" ref="E48:H48" si="10">SUM(E12:E21)</f>
        <v>4</v>
      </c>
      <c r="F48" s="202">
        <f t="shared" si="10"/>
        <v>3</v>
      </c>
      <c r="G48" s="202">
        <f t="shared" si="10"/>
        <v>4</v>
      </c>
      <c r="H48" s="202">
        <f t="shared" si="10"/>
        <v>3</v>
      </c>
      <c r="I48" s="202">
        <f>SUM(I12:I47)</f>
        <v>0</v>
      </c>
      <c r="J48" s="202">
        <f>SUM(J12:J47)</f>
        <v>4</v>
      </c>
      <c r="K48" s="202"/>
      <c r="L48" s="202">
        <f t="shared" ref="L48:Q48" si="11">SUM(L12:L47)</f>
        <v>5</v>
      </c>
      <c r="M48" s="202">
        <f t="shared" si="11"/>
        <v>5</v>
      </c>
      <c r="N48" s="202">
        <f t="shared" si="11"/>
        <v>4</v>
      </c>
      <c r="O48" s="202">
        <f t="shared" si="11"/>
        <v>3</v>
      </c>
      <c r="P48" s="202">
        <f t="shared" si="11"/>
        <v>0</v>
      </c>
      <c r="Q48" s="202">
        <f t="shared" si="11"/>
        <v>4</v>
      </c>
      <c r="R48" s="202"/>
      <c r="S48" s="202">
        <f t="shared" ref="S48:X48" si="12">SUM(S12:S47)</f>
        <v>3</v>
      </c>
      <c r="T48" s="226">
        <f t="shared" si="12"/>
        <v>3</v>
      </c>
      <c r="U48" s="226">
        <f t="shared" si="12"/>
        <v>3</v>
      </c>
      <c r="V48" s="202">
        <f t="shared" si="12"/>
        <v>2</v>
      </c>
      <c r="W48" s="226">
        <f t="shared" si="12"/>
        <v>0</v>
      </c>
      <c r="X48" s="202">
        <f t="shared" si="12"/>
        <v>3</v>
      </c>
      <c r="Y48" s="202"/>
      <c r="Z48" s="202">
        <f t="shared" ref="Z48:AE48" si="13">SUM(Z12:Z47)</f>
        <v>5</v>
      </c>
      <c r="AA48" s="202">
        <f t="shared" si="13"/>
        <v>6</v>
      </c>
      <c r="AB48" s="202">
        <f t="shared" si="13"/>
        <v>6</v>
      </c>
      <c r="AC48" s="202">
        <f t="shared" si="13"/>
        <v>4</v>
      </c>
      <c r="AD48" s="202">
        <f t="shared" si="13"/>
        <v>0</v>
      </c>
      <c r="AE48" s="202">
        <f t="shared" si="13"/>
        <v>6</v>
      </c>
      <c r="AF48" s="202"/>
      <c r="AG48" s="202">
        <f>SUM(AG12:AG47)</f>
        <v>4</v>
      </c>
      <c r="AH48" s="202"/>
      <c r="AI48" s="226">
        <f>SUM(AI12:AI47)</f>
        <v>12</v>
      </c>
      <c r="AJ48" s="202">
        <f t="shared" ref="AJ48:AR48" si="14">SUM(AJ12:AJ17)</f>
        <v>0</v>
      </c>
      <c r="AK48" s="202">
        <f t="shared" si="14"/>
        <v>0</v>
      </c>
      <c r="AL48" s="202">
        <f t="shared" si="14"/>
        <v>0</v>
      </c>
      <c r="AM48" s="202">
        <f t="shared" si="14"/>
        <v>0</v>
      </c>
      <c r="AN48" s="202">
        <f t="shared" si="14"/>
        <v>0</v>
      </c>
      <c r="AO48" s="202">
        <f t="shared" si="14"/>
        <v>0</v>
      </c>
      <c r="AP48" s="202">
        <f t="shared" si="14"/>
        <v>0</v>
      </c>
      <c r="AQ48" s="202">
        <f t="shared" si="14"/>
        <v>0</v>
      </c>
      <c r="AR48" s="202">
        <f t="shared" si="14"/>
        <v>0</v>
      </c>
      <c r="AS48" s="153">
        <f>SUM(E48:AR48)</f>
        <v>96</v>
      </c>
      <c r="AT48" s="12">
        <f>SUM(AT12:AT47)</f>
        <v>126</v>
      </c>
      <c r="AU48" s="225">
        <f>SUM(AU12:AU47)</f>
        <v>6352.5800000000008</v>
      </c>
      <c r="AV48" s="143"/>
      <c r="AX48" s="173"/>
    </row>
    <row r="49" spans="1:50" s="46" customFormat="1" ht="60" customHeight="1" x14ac:dyDescent="0.2">
      <c r="A49" s="427" t="s">
        <v>69</v>
      </c>
      <c r="B49" s="427"/>
      <c r="C49" s="203"/>
      <c r="D49" s="204"/>
      <c r="E49" s="205">
        <f t="shared" ref="E49:AQ49" si="15">E48*E11</f>
        <v>239.72</v>
      </c>
      <c r="F49" s="205">
        <f t="shared" si="15"/>
        <v>179.79</v>
      </c>
      <c r="G49" s="205">
        <f t="shared" si="15"/>
        <v>239.72</v>
      </c>
      <c r="H49" s="205">
        <f t="shared" si="15"/>
        <v>179.79</v>
      </c>
      <c r="I49" s="205">
        <f t="shared" si="15"/>
        <v>0</v>
      </c>
      <c r="J49" s="205">
        <f t="shared" si="15"/>
        <v>239.72</v>
      </c>
      <c r="K49" s="205"/>
      <c r="L49" s="205">
        <f t="shared" si="15"/>
        <v>299.64999999999998</v>
      </c>
      <c r="M49" s="205">
        <f t="shared" si="15"/>
        <v>299.64999999999998</v>
      </c>
      <c r="N49" s="205">
        <f t="shared" si="15"/>
        <v>239.72</v>
      </c>
      <c r="O49" s="205">
        <f t="shared" si="15"/>
        <v>179.79</v>
      </c>
      <c r="P49" s="205">
        <f t="shared" si="15"/>
        <v>0</v>
      </c>
      <c r="Q49" s="205">
        <f t="shared" si="15"/>
        <v>239.72</v>
      </c>
      <c r="R49" s="205"/>
      <c r="S49" s="205">
        <f t="shared" si="15"/>
        <v>179.79</v>
      </c>
      <c r="T49" s="205">
        <f t="shared" si="15"/>
        <v>179.79</v>
      </c>
      <c r="U49" s="205">
        <f t="shared" si="15"/>
        <v>179.79</v>
      </c>
      <c r="V49" s="205">
        <f t="shared" si="15"/>
        <v>119.86</v>
      </c>
      <c r="W49" s="205">
        <f t="shared" si="15"/>
        <v>0</v>
      </c>
      <c r="X49" s="205">
        <f t="shared" si="15"/>
        <v>179.79</v>
      </c>
      <c r="Y49" s="205"/>
      <c r="Z49" s="205">
        <f t="shared" si="15"/>
        <v>299.64999999999998</v>
      </c>
      <c r="AA49" s="205">
        <f t="shared" si="15"/>
        <v>359.58</v>
      </c>
      <c r="AB49" s="205">
        <f t="shared" si="15"/>
        <v>359.58</v>
      </c>
      <c r="AC49" s="205">
        <f t="shared" si="15"/>
        <v>239.72</v>
      </c>
      <c r="AD49" s="205">
        <f t="shared" si="15"/>
        <v>0</v>
      </c>
      <c r="AE49" s="205">
        <f t="shared" si="15"/>
        <v>359.58</v>
      </c>
      <c r="AF49" s="205"/>
      <c r="AG49" s="205">
        <f t="shared" si="15"/>
        <v>239.72</v>
      </c>
      <c r="AH49" s="205"/>
      <c r="AI49" s="205">
        <f>AI48*AH11</f>
        <v>719.16</v>
      </c>
      <c r="AJ49" s="205">
        <f t="shared" si="15"/>
        <v>0</v>
      </c>
      <c r="AK49" s="205">
        <f t="shared" si="15"/>
        <v>0</v>
      </c>
      <c r="AL49" s="205">
        <f t="shared" si="15"/>
        <v>0</v>
      </c>
      <c r="AM49" s="205">
        <f t="shared" si="15"/>
        <v>0</v>
      </c>
      <c r="AN49" s="205">
        <f t="shared" si="15"/>
        <v>0</v>
      </c>
      <c r="AO49" s="205">
        <f t="shared" si="15"/>
        <v>0</v>
      </c>
      <c r="AP49" s="205">
        <f t="shared" si="15"/>
        <v>0</v>
      </c>
      <c r="AQ49" s="205">
        <f t="shared" si="15"/>
        <v>0</v>
      </c>
      <c r="AR49" s="205">
        <f>AR48*AR11</f>
        <v>0</v>
      </c>
      <c r="AS49" s="154">
        <f>SUM(E49:AR49)</f>
        <v>5753.2800000000007</v>
      </c>
      <c r="AT49" s="146"/>
      <c r="AV49" s="143"/>
      <c r="AX49" s="173"/>
    </row>
    <row r="50" spans="1:50" ht="18" hidden="1" customHeight="1" outlineLevel="1" x14ac:dyDescent="0.2">
      <c r="D50" s="157"/>
      <c r="E50" s="152"/>
      <c r="AU50" s="21"/>
    </row>
    <row r="51" spans="1:50" ht="24.95" hidden="1" customHeight="1" outlineLevel="1" x14ac:dyDescent="0.2">
      <c r="A51" s="243"/>
      <c r="B51" s="23"/>
      <c r="C51" s="23"/>
      <c r="D51" s="133"/>
      <c r="F51" s="23"/>
      <c r="G51" s="23"/>
      <c r="H51" s="23"/>
      <c r="I51" s="23"/>
      <c r="J51" s="23"/>
      <c r="K51" s="23"/>
      <c r="L51" s="23" t="s">
        <v>81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U51" s="24"/>
    </row>
    <row r="52" spans="1:50" ht="20.25" hidden="1" customHeight="1" outlineLevel="1" x14ac:dyDescent="0.2">
      <c r="D52" s="133"/>
      <c r="E52" s="23"/>
    </row>
    <row r="53" spans="1:50" ht="43.5" hidden="1" customHeight="1" outlineLevel="1" x14ac:dyDescent="0.2">
      <c r="D53" s="31" t="s">
        <v>66</v>
      </c>
      <c r="F53" s="155"/>
      <c r="G53" s="155"/>
      <c r="H53" s="155"/>
      <c r="I53" s="155"/>
      <c r="J53" s="155"/>
      <c r="K53" s="155"/>
      <c r="L53" s="155"/>
      <c r="M53" s="155"/>
      <c r="N53" s="155"/>
      <c r="O53" s="155"/>
      <c r="P53" s="155"/>
      <c r="Q53" s="155"/>
      <c r="R53" s="155"/>
      <c r="S53" s="155"/>
      <c r="T53" s="155"/>
      <c r="U53" s="155"/>
      <c r="V53" s="155"/>
      <c r="W53" s="155"/>
      <c r="X53" s="155"/>
      <c r="Y53" s="155"/>
      <c r="Z53" s="155"/>
      <c r="AA53" s="155"/>
      <c r="AB53" s="155"/>
      <c r="AC53" s="155"/>
      <c r="AD53" s="155"/>
      <c r="AE53" s="155"/>
      <c r="AF53" s="155"/>
      <c r="AG53" s="155"/>
      <c r="AH53" s="155"/>
      <c r="AI53" s="155"/>
      <c r="AJ53" s="155"/>
      <c r="AU53" s="243" t="s">
        <v>58</v>
      </c>
    </row>
    <row r="54" spans="1:50" hidden="1" outlineLevel="1" x14ac:dyDescent="0.2">
      <c r="D54" s="29" t="s">
        <v>59</v>
      </c>
      <c r="E54" s="155"/>
      <c r="F54" s="156">
        <v>41</v>
      </c>
      <c r="G54" s="156">
        <v>40</v>
      </c>
      <c r="H54" s="156">
        <v>47</v>
      </c>
      <c r="I54" s="156">
        <v>33</v>
      </c>
      <c r="J54" s="156">
        <v>28</v>
      </c>
      <c r="K54" s="156"/>
      <c r="L54" s="156">
        <v>48</v>
      </c>
      <c r="M54" s="156"/>
      <c r="N54" s="156">
        <v>48</v>
      </c>
      <c r="O54" s="156">
        <v>49</v>
      </c>
      <c r="P54" s="156">
        <v>48</v>
      </c>
      <c r="Q54" s="156">
        <v>41</v>
      </c>
      <c r="R54" s="156"/>
      <c r="S54" s="156">
        <v>43</v>
      </c>
      <c r="T54" s="156">
        <v>48</v>
      </c>
      <c r="U54" s="156">
        <v>45</v>
      </c>
      <c r="V54" s="156">
        <v>42</v>
      </c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6"/>
      <c r="AL54" s="16"/>
      <c r="AM54" s="16"/>
      <c r="AN54" s="16"/>
      <c r="AO54" s="16"/>
      <c r="AP54" s="16"/>
      <c r="AQ54" s="16"/>
      <c r="AR54" s="16"/>
      <c r="AS54" s="147">
        <f>SUM(E54:AL54)</f>
        <v>601</v>
      </c>
    </row>
    <row r="55" spans="1:50" hidden="1" outlineLevel="1" x14ac:dyDescent="0.2">
      <c r="E55" s="156">
        <v>38</v>
      </c>
    </row>
    <row r="56" spans="1:50" hidden="1" outlineLevel="1" x14ac:dyDescent="0.2"/>
    <row r="57" spans="1:50" hidden="1" outlineLevel="1" x14ac:dyDescent="0.2"/>
    <row r="58" spans="1:50" hidden="1" outlineLevel="1" x14ac:dyDescent="0.2"/>
    <row r="59" spans="1:50" hidden="1" outlineLevel="1" x14ac:dyDescent="0.2">
      <c r="D59" s="29" t="s">
        <v>73</v>
      </c>
      <c r="F59" s="162">
        <f t="shared" ref="F59:L59" si="16">SUM(F13:F17)</f>
        <v>1</v>
      </c>
      <c r="G59" s="162">
        <f t="shared" si="16"/>
        <v>1</v>
      </c>
      <c r="H59" s="162">
        <f t="shared" si="16"/>
        <v>1</v>
      </c>
      <c r="I59" s="162">
        <f t="shared" si="16"/>
        <v>0</v>
      </c>
      <c r="J59" s="162">
        <f t="shared" si="16"/>
        <v>1</v>
      </c>
      <c r="K59" s="162"/>
      <c r="L59" s="162">
        <f t="shared" si="16"/>
        <v>1</v>
      </c>
      <c r="M59" s="162"/>
      <c r="N59" s="162">
        <f>SUM(N13:N17)</f>
        <v>1</v>
      </c>
      <c r="O59" s="162">
        <f>SUM(O13:O17)</f>
        <v>1</v>
      </c>
      <c r="P59" s="162">
        <f>SUM(P13:P17)</f>
        <v>0</v>
      </c>
      <c r="Q59" s="162">
        <f>SUM(Q13:Q16)</f>
        <v>2</v>
      </c>
      <c r="R59" s="162"/>
      <c r="S59" s="162">
        <f t="shared" ref="S59:X59" si="17">SUM(S13:S16)</f>
        <v>1</v>
      </c>
      <c r="T59" s="162">
        <f t="shared" si="17"/>
        <v>1</v>
      </c>
      <c r="U59" s="162">
        <f t="shared" si="17"/>
        <v>1</v>
      </c>
      <c r="V59" s="162">
        <f t="shared" si="17"/>
        <v>1</v>
      </c>
      <c r="W59" s="162">
        <f t="shared" si="17"/>
        <v>0</v>
      </c>
      <c r="X59" s="162">
        <f t="shared" si="17"/>
        <v>1</v>
      </c>
      <c r="Y59" s="162"/>
      <c r="Z59" s="162">
        <f>SUM(Z13:Z16)</f>
        <v>2</v>
      </c>
      <c r="AA59" s="162">
        <f>SUM(AA13:AA16)</f>
        <v>2</v>
      </c>
      <c r="AB59" s="162">
        <f>SUM(AB13:AB16)</f>
        <v>2</v>
      </c>
      <c r="AC59" s="162">
        <f>SUM(AC13:AC16)</f>
        <v>1</v>
      </c>
      <c r="AD59" s="162">
        <f>SUM(AD13:AD16)</f>
        <v>0</v>
      </c>
      <c r="AE59" s="162"/>
      <c r="AF59" s="162"/>
      <c r="AG59" s="162">
        <f>SUM(AG13:AG16)</f>
        <v>2</v>
      </c>
      <c r="AH59" s="162"/>
      <c r="AI59" s="162">
        <f>SUM(AI13:AI16)</f>
        <v>3</v>
      </c>
      <c r="AJ59" s="162">
        <f>SUM(AJ13:AJ17)</f>
        <v>0</v>
      </c>
      <c r="AK59" s="162">
        <f>SUM(AK13:AK17)</f>
        <v>0</v>
      </c>
      <c r="AL59" s="162">
        <f>SUM(AL13:AL17)</f>
        <v>0</v>
      </c>
      <c r="AM59" s="162"/>
      <c r="AN59" s="162"/>
      <c r="AO59" s="162"/>
      <c r="AP59" s="162"/>
      <c r="AQ59" s="162"/>
      <c r="AR59" s="162"/>
    </row>
    <row r="60" spans="1:50" hidden="1" outlineLevel="1" x14ac:dyDescent="0.2">
      <c r="D60" s="29" t="s">
        <v>74</v>
      </c>
      <c r="E60" s="162">
        <f>SUM(E13:E17)</f>
        <v>1</v>
      </c>
      <c r="F60" s="162" t="e">
        <f>SUM(#REF!)</f>
        <v>#REF!</v>
      </c>
      <c r="G60" s="162" t="e">
        <f>SUM(#REF!)</f>
        <v>#REF!</v>
      </c>
      <c r="H60" s="162" t="e">
        <f>SUM(#REF!)</f>
        <v>#REF!</v>
      </c>
      <c r="I60" s="162" t="e">
        <f>SUM(#REF!)</f>
        <v>#REF!</v>
      </c>
      <c r="J60" s="162" t="e">
        <f>SUM(#REF!)</f>
        <v>#REF!</v>
      </c>
      <c r="K60" s="162"/>
      <c r="L60" s="162" t="e">
        <f>SUM(#REF!)</f>
        <v>#REF!</v>
      </c>
      <c r="M60" s="162"/>
      <c r="N60" s="162" t="e">
        <f>SUM(#REF!)</f>
        <v>#REF!</v>
      </c>
      <c r="O60" s="162" t="e">
        <f>SUM(#REF!)</f>
        <v>#REF!</v>
      </c>
      <c r="P60" s="162" t="e">
        <f>SUM(#REF!)</f>
        <v>#REF!</v>
      </c>
      <c r="Q60" s="162" t="e">
        <f>SUM(#REF!)</f>
        <v>#REF!</v>
      </c>
      <c r="R60" s="162"/>
      <c r="S60" s="162" t="e">
        <f>SUM(#REF!)</f>
        <v>#REF!</v>
      </c>
      <c r="T60" s="162" t="e">
        <f>SUM(#REF!)</f>
        <v>#REF!</v>
      </c>
      <c r="U60" s="162" t="e">
        <f>SUM(#REF!)</f>
        <v>#REF!</v>
      </c>
      <c r="V60" s="162" t="e">
        <f>SUM(#REF!)</f>
        <v>#REF!</v>
      </c>
      <c r="W60" s="162" t="e">
        <f>SUM(#REF!)</f>
        <v>#REF!</v>
      </c>
      <c r="X60" s="162" t="e">
        <f>SUM(#REF!)</f>
        <v>#REF!</v>
      </c>
      <c r="Y60" s="162"/>
      <c r="Z60" s="162" t="e">
        <f>SUM(#REF!)</f>
        <v>#REF!</v>
      </c>
      <c r="AA60" s="162" t="e">
        <f>SUM(#REF!)</f>
        <v>#REF!</v>
      </c>
      <c r="AB60" s="162" t="e">
        <f>SUM(#REF!)</f>
        <v>#REF!</v>
      </c>
      <c r="AC60" s="162" t="e">
        <f>SUM(#REF!)</f>
        <v>#REF!</v>
      </c>
      <c r="AD60" s="162" t="e">
        <f>SUM(#REF!)</f>
        <v>#REF!</v>
      </c>
      <c r="AE60" s="162"/>
      <c r="AF60" s="162"/>
      <c r="AG60" s="162" t="e">
        <f>SUM(#REF!)</f>
        <v>#REF!</v>
      </c>
      <c r="AH60" s="162"/>
      <c r="AI60" s="162" t="e">
        <f>SUM(#REF!)</f>
        <v>#REF!</v>
      </c>
      <c r="AJ60" s="162" t="e">
        <f>SUM(#REF!)</f>
        <v>#REF!</v>
      </c>
      <c r="AK60" s="162" t="e">
        <f>SUM(#REF!)</f>
        <v>#REF!</v>
      </c>
      <c r="AL60" s="162" t="e">
        <f>SUM(#REF!)</f>
        <v>#REF!</v>
      </c>
      <c r="AM60" s="162"/>
      <c r="AN60" s="162"/>
      <c r="AO60" s="162"/>
      <c r="AP60" s="162"/>
      <c r="AQ60" s="162"/>
      <c r="AR60" s="162"/>
    </row>
    <row r="61" spans="1:50" hidden="1" outlineLevel="1" x14ac:dyDescent="0.2">
      <c r="D61" s="29" t="s">
        <v>75</v>
      </c>
      <c r="E61" s="162" t="e">
        <f>SUM(#REF!)</f>
        <v>#REF!</v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</row>
    <row r="62" spans="1:50" hidden="1" outlineLevel="1" x14ac:dyDescent="0.2">
      <c r="D62" s="29" t="s">
        <v>76</v>
      </c>
      <c r="E62" s="162"/>
      <c r="F62" s="162" t="e">
        <f>SUM(#REF!)</f>
        <v>#REF!</v>
      </c>
      <c r="G62" s="162" t="e">
        <f>SUM(#REF!)</f>
        <v>#REF!</v>
      </c>
      <c r="H62" s="162" t="e">
        <f>SUM(#REF!)</f>
        <v>#REF!</v>
      </c>
      <c r="I62" s="162" t="e">
        <f>SUM(#REF!)</f>
        <v>#REF!</v>
      </c>
      <c r="J62" s="162" t="e">
        <f>SUM(#REF!)</f>
        <v>#REF!</v>
      </c>
      <c r="K62" s="162"/>
      <c r="L62" s="162" t="e">
        <f>SUM(#REF!)</f>
        <v>#REF!</v>
      </c>
      <c r="M62" s="162"/>
      <c r="N62" s="162" t="e">
        <f>SUM(#REF!)</f>
        <v>#REF!</v>
      </c>
      <c r="O62" s="162" t="e">
        <f>SUM(#REF!)</f>
        <v>#REF!</v>
      </c>
      <c r="P62" s="162" t="e">
        <f>SUM(#REF!)</f>
        <v>#REF!</v>
      </c>
      <c r="Q62" s="162" t="e">
        <f>SUM(#REF!)</f>
        <v>#REF!</v>
      </c>
      <c r="R62" s="162"/>
      <c r="S62" s="162" t="e">
        <f>SUM(#REF!)</f>
        <v>#REF!</v>
      </c>
      <c r="T62" s="162" t="e">
        <f>SUM(#REF!)</f>
        <v>#REF!</v>
      </c>
      <c r="U62" s="162" t="e">
        <f>SUM(#REF!)</f>
        <v>#REF!</v>
      </c>
      <c r="V62" s="162" t="e">
        <f>SUM(#REF!)</f>
        <v>#REF!</v>
      </c>
      <c r="W62" s="162" t="e">
        <f>SUM(#REF!)</f>
        <v>#REF!</v>
      </c>
      <c r="X62" s="162" t="e">
        <f>SUM(#REF!)</f>
        <v>#REF!</v>
      </c>
      <c r="Y62" s="162"/>
      <c r="Z62" s="162" t="e">
        <f>SUM(#REF!)</f>
        <v>#REF!</v>
      </c>
      <c r="AA62" s="162" t="e">
        <f>SUM(#REF!)</f>
        <v>#REF!</v>
      </c>
      <c r="AB62" s="162" t="e">
        <f>SUM(#REF!)</f>
        <v>#REF!</v>
      </c>
      <c r="AC62" s="162" t="e">
        <f>SUM(#REF!)</f>
        <v>#REF!</v>
      </c>
      <c r="AD62" s="162" t="e">
        <f>SUM(#REF!)</f>
        <v>#REF!</v>
      </c>
      <c r="AE62" s="162"/>
      <c r="AF62" s="162"/>
      <c r="AG62" s="162" t="e">
        <f>SUM(#REF!)</f>
        <v>#REF!</v>
      </c>
      <c r="AH62" s="162"/>
      <c r="AI62" s="162" t="e">
        <f>SUM(#REF!)</f>
        <v>#REF!</v>
      </c>
      <c r="AJ62" s="162" t="e">
        <f>SUM(#REF!)</f>
        <v>#REF!</v>
      </c>
      <c r="AK62" s="162" t="e">
        <f>SUM(#REF!)</f>
        <v>#REF!</v>
      </c>
      <c r="AL62" s="162" t="e">
        <f>SUM(#REF!)</f>
        <v>#REF!</v>
      </c>
      <c r="AM62" s="162"/>
      <c r="AN62" s="162"/>
      <c r="AO62" s="162"/>
      <c r="AP62" s="162"/>
      <c r="AQ62" s="162"/>
      <c r="AR62" s="162"/>
    </row>
    <row r="63" spans="1:50" hidden="1" outlineLevel="1" x14ac:dyDescent="0.2">
      <c r="E63" s="162">
        <f t="shared" ref="E63" si="18">SUM(E48:E48)</f>
        <v>4</v>
      </c>
      <c r="F63" s="162" t="e">
        <f t="shared" ref="E63:F64" si="19">SUM(F59:F62)</f>
        <v>#REF!</v>
      </c>
      <c r="G63" s="162" t="e">
        <f>SUM(G59:G62)</f>
        <v>#REF!</v>
      </c>
      <c r="H63" s="162" t="e">
        <f t="shared" ref="H63:AL63" si="20">SUM(H59:H62)</f>
        <v>#REF!</v>
      </c>
      <c r="I63" s="162" t="e">
        <f t="shared" si="20"/>
        <v>#REF!</v>
      </c>
      <c r="J63" s="162" t="e">
        <f t="shared" si="20"/>
        <v>#REF!</v>
      </c>
      <c r="K63" s="162"/>
      <c r="L63" s="162" t="e">
        <f t="shared" si="20"/>
        <v>#REF!</v>
      </c>
      <c r="M63" s="162"/>
      <c r="N63" s="162" t="e">
        <f t="shared" si="20"/>
        <v>#REF!</v>
      </c>
      <c r="O63" s="162" t="e">
        <f t="shared" si="20"/>
        <v>#REF!</v>
      </c>
      <c r="P63" s="162" t="e">
        <f t="shared" si="20"/>
        <v>#REF!</v>
      </c>
      <c r="Q63" s="162" t="e">
        <f t="shared" si="20"/>
        <v>#REF!</v>
      </c>
      <c r="R63" s="162"/>
      <c r="S63" s="162" t="e">
        <f t="shared" si="20"/>
        <v>#REF!</v>
      </c>
      <c r="T63" s="162" t="e">
        <f t="shared" si="20"/>
        <v>#REF!</v>
      </c>
      <c r="U63" s="162" t="e">
        <f t="shared" si="20"/>
        <v>#REF!</v>
      </c>
      <c r="V63" s="162" t="e">
        <f t="shared" si="20"/>
        <v>#REF!</v>
      </c>
      <c r="W63" s="162" t="e">
        <f t="shared" si="20"/>
        <v>#REF!</v>
      </c>
      <c r="X63" s="162" t="e">
        <f t="shared" si="20"/>
        <v>#REF!</v>
      </c>
      <c r="Y63" s="162"/>
      <c r="Z63" s="162" t="e">
        <f t="shared" si="20"/>
        <v>#REF!</v>
      </c>
      <c r="AA63" s="162" t="e">
        <f t="shared" si="20"/>
        <v>#REF!</v>
      </c>
      <c r="AB63" s="162" t="e">
        <f t="shared" si="20"/>
        <v>#REF!</v>
      </c>
      <c r="AC63" s="162" t="e">
        <f t="shared" si="20"/>
        <v>#REF!</v>
      </c>
      <c r="AD63" s="162" t="e">
        <f t="shared" si="20"/>
        <v>#REF!</v>
      </c>
      <c r="AE63" s="162"/>
      <c r="AF63" s="162"/>
      <c r="AG63" s="162" t="e">
        <f t="shared" si="20"/>
        <v>#REF!</v>
      </c>
      <c r="AH63" s="162"/>
      <c r="AI63" s="162" t="e">
        <f t="shared" si="20"/>
        <v>#REF!</v>
      </c>
      <c r="AJ63" s="162" t="e">
        <f t="shared" si="20"/>
        <v>#REF!</v>
      </c>
      <c r="AK63" s="162" t="e">
        <f t="shared" si="20"/>
        <v>#REF!</v>
      </c>
      <c r="AL63" s="162" t="e">
        <f t="shared" si="20"/>
        <v>#REF!</v>
      </c>
      <c r="AM63" s="162"/>
      <c r="AN63" s="162"/>
      <c r="AO63" s="162"/>
      <c r="AP63" s="162"/>
      <c r="AQ63" s="162"/>
      <c r="AR63" s="162"/>
    </row>
    <row r="64" spans="1:50" hidden="1" outlineLevel="1" x14ac:dyDescent="0.2">
      <c r="E64" s="162" t="e">
        <f t="shared" si="19"/>
        <v>#REF!</v>
      </c>
    </row>
    <row r="65" hidden="1" outlineLevel="1" x14ac:dyDescent="0.2"/>
    <row r="66" hidden="1" outlineLevel="1" x14ac:dyDescent="0.2"/>
    <row r="67" hidden="1" outlineLevel="1" x14ac:dyDescent="0.2"/>
    <row r="68" hidden="1" outlineLevel="1" x14ac:dyDescent="0.2"/>
    <row r="69" hidden="1" outlineLevel="1" x14ac:dyDescent="0.2"/>
    <row r="70" hidden="1" outlineLevel="1" x14ac:dyDescent="0.2"/>
    <row r="71" hidden="1" outlineLevel="1" x14ac:dyDescent="0.2"/>
    <row r="72" hidden="1" outlineLevel="1" x14ac:dyDescent="0.2"/>
    <row r="73" hidden="1" outlineLevel="1" x14ac:dyDescent="0.2"/>
    <row r="74" hidden="1" outlineLevel="1" x14ac:dyDescent="0.2"/>
    <row r="75" hidden="1" outlineLevel="1" x14ac:dyDescent="0.2"/>
    <row r="76" hidden="1" outlineLevel="1" x14ac:dyDescent="0.2"/>
    <row r="77" collapsed="1" x14ac:dyDescent="0.2"/>
    <row r="84" spans="20:20" x14ac:dyDescent="0.2">
      <c r="T84" s="243" t="s">
        <v>96</v>
      </c>
    </row>
  </sheetData>
  <mergeCells count="8">
    <mergeCell ref="A49:B49"/>
    <mergeCell ref="S7:U7"/>
    <mergeCell ref="A9:A11"/>
    <mergeCell ref="B9:C11"/>
    <mergeCell ref="AS9:AS10"/>
    <mergeCell ref="D10:D11"/>
    <mergeCell ref="A48:B48"/>
    <mergeCell ref="A7:N7"/>
  </mergeCells>
  <pageMargins left="0.7" right="0.7" top="0.75" bottom="0.75" header="0.3" footer="0.3"/>
  <pageSetup paperSize="9" scale="54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7030A0"/>
    <pageSetUpPr fitToPage="1"/>
  </sheetPr>
  <dimension ref="A1:AV62"/>
  <sheetViews>
    <sheetView topLeftCell="A7" workbookViewId="0">
      <selection activeCell="AO32" sqref="AO32"/>
    </sheetView>
  </sheetViews>
  <sheetFormatPr defaultRowHeight="12.75" outlineLevelRow="2" outlineLevelCol="1" x14ac:dyDescent="0.2"/>
  <cols>
    <col min="1" max="1" width="3.7109375" style="20" customWidth="1"/>
    <col min="2" max="2" width="38" style="243" customWidth="1"/>
    <col min="3" max="3" width="11.7109375" style="243" customWidth="1"/>
    <col min="4" max="4" width="11.5703125" style="20" customWidth="1"/>
    <col min="5" max="5" width="6" style="243" customWidth="1"/>
    <col min="6" max="10" width="5.7109375" style="243" customWidth="1"/>
    <col min="11" max="11" width="5.7109375" style="252" customWidth="1"/>
    <col min="12" max="17" width="5.7109375" style="243" customWidth="1"/>
    <col min="18" max="18" width="5.7109375" style="252" customWidth="1"/>
    <col min="19" max="21" width="5.7109375" style="243" customWidth="1"/>
    <col min="22" max="22" width="6" style="243" customWidth="1"/>
    <col min="23" max="24" width="5.7109375" style="243" customWidth="1"/>
    <col min="25" max="30" width="5.7109375" style="243" hidden="1" customWidth="1"/>
    <col min="31" max="31" width="5.7109375" style="252" customWidth="1"/>
    <col min="32" max="32" width="5.7109375" style="243" customWidth="1" outlineLevel="1"/>
    <col min="33" max="34" width="5.7109375" style="13" customWidth="1" outlineLevel="1"/>
    <col min="35" max="41" width="5.85546875" style="13" customWidth="1" outlineLevel="1"/>
    <col min="42" max="42" width="11.42578125" style="46" customWidth="1"/>
    <col min="43" max="43" width="9.42578125" style="20" customWidth="1"/>
    <col min="44" max="44" width="11.5703125" style="243" bestFit="1" customWidth="1"/>
    <col min="45" max="45" width="0" hidden="1" customWidth="1" outlineLevel="1"/>
    <col min="46" max="46" width="0" style="243" hidden="1" customWidth="1" outlineLevel="1"/>
    <col min="47" max="47" width="5" style="134" hidden="1" customWidth="1" outlineLevel="1"/>
    <col min="48" max="48" width="9.140625" style="243" collapsed="1"/>
    <col min="49" max="263" width="9.140625" style="243"/>
    <col min="264" max="264" width="3.7109375" style="243" customWidth="1"/>
    <col min="265" max="265" width="34.42578125" style="243" customWidth="1"/>
    <col min="266" max="266" width="11.5703125" style="243" customWidth="1"/>
    <col min="267" max="267" width="11.7109375" style="243" customWidth="1"/>
    <col min="268" max="294" width="8.42578125" style="243" customWidth="1"/>
    <col min="295" max="295" width="11.42578125" style="243" customWidth="1"/>
    <col min="296" max="296" width="9.42578125" style="243" customWidth="1"/>
    <col min="297" max="297" width="11.5703125" style="243" bestFit="1" customWidth="1"/>
    <col min="298" max="298" width="9.28515625" style="243" bestFit="1" customWidth="1"/>
    <col min="299" max="519" width="9.140625" style="243"/>
    <col min="520" max="520" width="3.7109375" style="243" customWidth="1"/>
    <col min="521" max="521" width="34.42578125" style="243" customWidth="1"/>
    <col min="522" max="522" width="11.5703125" style="243" customWidth="1"/>
    <col min="523" max="523" width="11.7109375" style="243" customWidth="1"/>
    <col min="524" max="550" width="8.42578125" style="243" customWidth="1"/>
    <col min="551" max="551" width="11.42578125" style="243" customWidth="1"/>
    <col min="552" max="552" width="9.42578125" style="243" customWidth="1"/>
    <col min="553" max="553" width="11.5703125" style="243" bestFit="1" customWidth="1"/>
    <col min="554" max="554" width="9.28515625" style="243" bestFit="1" customWidth="1"/>
    <col min="555" max="775" width="9.140625" style="243"/>
    <col min="776" max="776" width="3.7109375" style="243" customWidth="1"/>
    <col min="777" max="777" width="34.42578125" style="243" customWidth="1"/>
    <col min="778" max="778" width="11.5703125" style="243" customWidth="1"/>
    <col min="779" max="779" width="11.7109375" style="243" customWidth="1"/>
    <col min="780" max="806" width="8.42578125" style="243" customWidth="1"/>
    <col min="807" max="807" width="11.42578125" style="243" customWidth="1"/>
    <col min="808" max="808" width="9.42578125" style="243" customWidth="1"/>
    <col min="809" max="809" width="11.5703125" style="243" bestFit="1" customWidth="1"/>
    <col min="810" max="810" width="9.28515625" style="243" bestFit="1" customWidth="1"/>
    <col min="811" max="1031" width="9.140625" style="243"/>
    <col min="1032" max="1032" width="3.7109375" style="243" customWidth="1"/>
    <col min="1033" max="1033" width="34.42578125" style="243" customWidth="1"/>
    <col min="1034" max="1034" width="11.5703125" style="243" customWidth="1"/>
    <col min="1035" max="1035" width="11.7109375" style="243" customWidth="1"/>
    <col min="1036" max="1062" width="8.42578125" style="243" customWidth="1"/>
    <col min="1063" max="1063" width="11.42578125" style="243" customWidth="1"/>
    <col min="1064" max="1064" width="9.42578125" style="243" customWidth="1"/>
    <col min="1065" max="1065" width="11.5703125" style="243" bestFit="1" customWidth="1"/>
    <col min="1066" max="1066" width="9.28515625" style="243" bestFit="1" customWidth="1"/>
    <col min="1067" max="1287" width="9.140625" style="243"/>
    <col min="1288" max="1288" width="3.7109375" style="243" customWidth="1"/>
    <col min="1289" max="1289" width="34.42578125" style="243" customWidth="1"/>
    <col min="1290" max="1290" width="11.5703125" style="243" customWidth="1"/>
    <col min="1291" max="1291" width="11.7109375" style="243" customWidth="1"/>
    <col min="1292" max="1318" width="8.42578125" style="243" customWidth="1"/>
    <col min="1319" max="1319" width="11.42578125" style="243" customWidth="1"/>
    <col min="1320" max="1320" width="9.42578125" style="243" customWidth="1"/>
    <col min="1321" max="1321" width="11.5703125" style="243" bestFit="1" customWidth="1"/>
    <col min="1322" max="1322" width="9.28515625" style="243" bestFit="1" customWidth="1"/>
    <col min="1323" max="1543" width="9.140625" style="243"/>
    <col min="1544" max="1544" width="3.7109375" style="243" customWidth="1"/>
    <col min="1545" max="1545" width="34.42578125" style="243" customWidth="1"/>
    <col min="1546" max="1546" width="11.5703125" style="243" customWidth="1"/>
    <col min="1547" max="1547" width="11.7109375" style="243" customWidth="1"/>
    <col min="1548" max="1574" width="8.42578125" style="243" customWidth="1"/>
    <col min="1575" max="1575" width="11.42578125" style="243" customWidth="1"/>
    <col min="1576" max="1576" width="9.42578125" style="243" customWidth="1"/>
    <col min="1577" max="1577" width="11.5703125" style="243" bestFit="1" customWidth="1"/>
    <col min="1578" max="1578" width="9.28515625" style="243" bestFit="1" customWidth="1"/>
    <col min="1579" max="1799" width="9.140625" style="243"/>
    <col min="1800" max="1800" width="3.7109375" style="243" customWidth="1"/>
    <col min="1801" max="1801" width="34.42578125" style="243" customWidth="1"/>
    <col min="1802" max="1802" width="11.5703125" style="243" customWidth="1"/>
    <col min="1803" max="1803" width="11.7109375" style="243" customWidth="1"/>
    <col min="1804" max="1830" width="8.42578125" style="243" customWidth="1"/>
    <col min="1831" max="1831" width="11.42578125" style="243" customWidth="1"/>
    <col min="1832" max="1832" width="9.42578125" style="243" customWidth="1"/>
    <col min="1833" max="1833" width="11.5703125" style="243" bestFit="1" customWidth="1"/>
    <col min="1834" max="1834" width="9.28515625" style="243" bestFit="1" customWidth="1"/>
    <col min="1835" max="2055" width="9.140625" style="243"/>
    <col min="2056" max="2056" width="3.7109375" style="243" customWidth="1"/>
    <col min="2057" max="2057" width="34.42578125" style="243" customWidth="1"/>
    <col min="2058" max="2058" width="11.5703125" style="243" customWidth="1"/>
    <col min="2059" max="2059" width="11.7109375" style="243" customWidth="1"/>
    <col min="2060" max="2086" width="8.42578125" style="243" customWidth="1"/>
    <col min="2087" max="2087" width="11.42578125" style="243" customWidth="1"/>
    <col min="2088" max="2088" width="9.42578125" style="243" customWidth="1"/>
    <col min="2089" max="2089" width="11.5703125" style="243" bestFit="1" customWidth="1"/>
    <col min="2090" max="2090" width="9.28515625" style="243" bestFit="1" customWidth="1"/>
    <col min="2091" max="2311" width="9.140625" style="243"/>
    <col min="2312" max="2312" width="3.7109375" style="243" customWidth="1"/>
    <col min="2313" max="2313" width="34.42578125" style="243" customWidth="1"/>
    <col min="2314" max="2314" width="11.5703125" style="243" customWidth="1"/>
    <col min="2315" max="2315" width="11.7109375" style="243" customWidth="1"/>
    <col min="2316" max="2342" width="8.42578125" style="243" customWidth="1"/>
    <col min="2343" max="2343" width="11.42578125" style="243" customWidth="1"/>
    <col min="2344" max="2344" width="9.42578125" style="243" customWidth="1"/>
    <col min="2345" max="2345" width="11.5703125" style="243" bestFit="1" customWidth="1"/>
    <col min="2346" max="2346" width="9.28515625" style="243" bestFit="1" customWidth="1"/>
    <col min="2347" max="2567" width="9.140625" style="243"/>
    <col min="2568" max="2568" width="3.7109375" style="243" customWidth="1"/>
    <col min="2569" max="2569" width="34.42578125" style="243" customWidth="1"/>
    <col min="2570" max="2570" width="11.5703125" style="243" customWidth="1"/>
    <col min="2571" max="2571" width="11.7109375" style="243" customWidth="1"/>
    <col min="2572" max="2598" width="8.42578125" style="243" customWidth="1"/>
    <col min="2599" max="2599" width="11.42578125" style="243" customWidth="1"/>
    <col min="2600" max="2600" width="9.42578125" style="243" customWidth="1"/>
    <col min="2601" max="2601" width="11.5703125" style="243" bestFit="1" customWidth="1"/>
    <col min="2602" max="2602" width="9.28515625" style="243" bestFit="1" customWidth="1"/>
    <col min="2603" max="2823" width="9.140625" style="243"/>
    <col min="2824" max="2824" width="3.7109375" style="243" customWidth="1"/>
    <col min="2825" max="2825" width="34.42578125" style="243" customWidth="1"/>
    <col min="2826" max="2826" width="11.5703125" style="243" customWidth="1"/>
    <col min="2827" max="2827" width="11.7109375" style="243" customWidth="1"/>
    <col min="2828" max="2854" width="8.42578125" style="243" customWidth="1"/>
    <col min="2855" max="2855" width="11.42578125" style="243" customWidth="1"/>
    <col min="2856" max="2856" width="9.42578125" style="243" customWidth="1"/>
    <col min="2857" max="2857" width="11.5703125" style="243" bestFit="1" customWidth="1"/>
    <col min="2858" max="2858" width="9.28515625" style="243" bestFit="1" customWidth="1"/>
    <col min="2859" max="3079" width="9.140625" style="243"/>
    <col min="3080" max="3080" width="3.7109375" style="243" customWidth="1"/>
    <col min="3081" max="3081" width="34.42578125" style="243" customWidth="1"/>
    <col min="3082" max="3082" width="11.5703125" style="243" customWidth="1"/>
    <col min="3083" max="3083" width="11.7109375" style="243" customWidth="1"/>
    <col min="3084" max="3110" width="8.42578125" style="243" customWidth="1"/>
    <col min="3111" max="3111" width="11.42578125" style="243" customWidth="1"/>
    <col min="3112" max="3112" width="9.42578125" style="243" customWidth="1"/>
    <col min="3113" max="3113" width="11.5703125" style="243" bestFit="1" customWidth="1"/>
    <col min="3114" max="3114" width="9.28515625" style="243" bestFit="1" customWidth="1"/>
    <col min="3115" max="3335" width="9.140625" style="243"/>
    <col min="3336" max="3336" width="3.7109375" style="243" customWidth="1"/>
    <col min="3337" max="3337" width="34.42578125" style="243" customWidth="1"/>
    <col min="3338" max="3338" width="11.5703125" style="243" customWidth="1"/>
    <col min="3339" max="3339" width="11.7109375" style="243" customWidth="1"/>
    <col min="3340" max="3366" width="8.42578125" style="243" customWidth="1"/>
    <col min="3367" max="3367" width="11.42578125" style="243" customWidth="1"/>
    <col min="3368" max="3368" width="9.42578125" style="243" customWidth="1"/>
    <col min="3369" max="3369" width="11.5703125" style="243" bestFit="1" customWidth="1"/>
    <col min="3370" max="3370" width="9.28515625" style="243" bestFit="1" customWidth="1"/>
    <col min="3371" max="3591" width="9.140625" style="243"/>
    <col min="3592" max="3592" width="3.7109375" style="243" customWidth="1"/>
    <col min="3593" max="3593" width="34.42578125" style="243" customWidth="1"/>
    <col min="3594" max="3594" width="11.5703125" style="243" customWidth="1"/>
    <col min="3595" max="3595" width="11.7109375" style="243" customWidth="1"/>
    <col min="3596" max="3622" width="8.42578125" style="243" customWidth="1"/>
    <col min="3623" max="3623" width="11.42578125" style="243" customWidth="1"/>
    <col min="3624" max="3624" width="9.42578125" style="243" customWidth="1"/>
    <col min="3625" max="3625" width="11.5703125" style="243" bestFit="1" customWidth="1"/>
    <col min="3626" max="3626" width="9.28515625" style="243" bestFit="1" customWidth="1"/>
    <col min="3627" max="3847" width="9.140625" style="243"/>
    <col min="3848" max="3848" width="3.7109375" style="243" customWidth="1"/>
    <col min="3849" max="3849" width="34.42578125" style="243" customWidth="1"/>
    <col min="3850" max="3850" width="11.5703125" style="243" customWidth="1"/>
    <col min="3851" max="3851" width="11.7109375" style="243" customWidth="1"/>
    <col min="3852" max="3878" width="8.42578125" style="243" customWidth="1"/>
    <col min="3879" max="3879" width="11.42578125" style="243" customWidth="1"/>
    <col min="3880" max="3880" width="9.42578125" style="243" customWidth="1"/>
    <col min="3881" max="3881" width="11.5703125" style="243" bestFit="1" customWidth="1"/>
    <col min="3882" max="3882" width="9.28515625" style="243" bestFit="1" customWidth="1"/>
    <col min="3883" max="4103" width="9.140625" style="243"/>
    <col min="4104" max="4104" width="3.7109375" style="243" customWidth="1"/>
    <col min="4105" max="4105" width="34.42578125" style="243" customWidth="1"/>
    <col min="4106" max="4106" width="11.5703125" style="243" customWidth="1"/>
    <col min="4107" max="4107" width="11.7109375" style="243" customWidth="1"/>
    <col min="4108" max="4134" width="8.42578125" style="243" customWidth="1"/>
    <col min="4135" max="4135" width="11.42578125" style="243" customWidth="1"/>
    <col min="4136" max="4136" width="9.42578125" style="243" customWidth="1"/>
    <col min="4137" max="4137" width="11.5703125" style="243" bestFit="1" customWidth="1"/>
    <col min="4138" max="4138" width="9.28515625" style="243" bestFit="1" customWidth="1"/>
    <col min="4139" max="4359" width="9.140625" style="243"/>
    <col min="4360" max="4360" width="3.7109375" style="243" customWidth="1"/>
    <col min="4361" max="4361" width="34.42578125" style="243" customWidth="1"/>
    <col min="4362" max="4362" width="11.5703125" style="243" customWidth="1"/>
    <col min="4363" max="4363" width="11.7109375" style="243" customWidth="1"/>
    <col min="4364" max="4390" width="8.42578125" style="243" customWidth="1"/>
    <col min="4391" max="4391" width="11.42578125" style="243" customWidth="1"/>
    <col min="4392" max="4392" width="9.42578125" style="243" customWidth="1"/>
    <col min="4393" max="4393" width="11.5703125" style="243" bestFit="1" customWidth="1"/>
    <col min="4394" max="4394" width="9.28515625" style="243" bestFit="1" customWidth="1"/>
    <col min="4395" max="4615" width="9.140625" style="243"/>
    <col min="4616" max="4616" width="3.7109375" style="243" customWidth="1"/>
    <col min="4617" max="4617" width="34.42578125" style="243" customWidth="1"/>
    <col min="4618" max="4618" width="11.5703125" style="243" customWidth="1"/>
    <col min="4619" max="4619" width="11.7109375" style="243" customWidth="1"/>
    <col min="4620" max="4646" width="8.42578125" style="243" customWidth="1"/>
    <col min="4647" max="4647" width="11.42578125" style="243" customWidth="1"/>
    <col min="4648" max="4648" width="9.42578125" style="243" customWidth="1"/>
    <col min="4649" max="4649" width="11.5703125" style="243" bestFit="1" customWidth="1"/>
    <col min="4650" max="4650" width="9.28515625" style="243" bestFit="1" customWidth="1"/>
    <col min="4651" max="4871" width="9.140625" style="243"/>
    <col min="4872" max="4872" width="3.7109375" style="243" customWidth="1"/>
    <col min="4873" max="4873" width="34.42578125" style="243" customWidth="1"/>
    <col min="4874" max="4874" width="11.5703125" style="243" customWidth="1"/>
    <col min="4875" max="4875" width="11.7109375" style="243" customWidth="1"/>
    <col min="4876" max="4902" width="8.42578125" style="243" customWidth="1"/>
    <col min="4903" max="4903" width="11.42578125" style="243" customWidth="1"/>
    <col min="4904" max="4904" width="9.42578125" style="243" customWidth="1"/>
    <col min="4905" max="4905" width="11.5703125" style="243" bestFit="1" customWidth="1"/>
    <col min="4906" max="4906" width="9.28515625" style="243" bestFit="1" customWidth="1"/>
    <col min="4907" max="5127" width="9.140625" style="243"/>
    <col min="5128" max="5128" width="3.7109375" style="243" customWidth="1"/>
    <col min="5129" max="5129" width="34.42578125" style="243" customWidth="1"/>
    <col min="5130" max="5130" width="11.5703125" style="243" customWidth="1"/>
    <col min="5131" max="5131" width="11.7109375" style="243" customWidth="1"/>
    <col min="5132" max="5158" width="8.42578125" style="243" customWidth="1"/>
    <col min="5159" max="5159" width="11.42578125" style="243" customWidth="1"/>
    <col min="5160" max="5160" width="9.42578125" style="243" customWidth="1"/>
    <col min="5161" max="5161" width="11.5703125" style="243" bestFit="1" customWidth="1"/>
    <col min="5162" max="5162" width="9.28515625" style="243" bestFit="1" customWidth="1"/>
    <col min="5163" max="5383" width="9.140625" style="243"/>
    <col min="5384" max="5384" width="3.7109375" style="243" customWidth="1"/>
    <col min="5385" max="5385" width="34.42578125" style="243" customWidth="1"/>
    <col min="5386" max="5386" width="11.5703125" style="243" customWidth="1"/>
    <col min="5387" max="5387" width="11.7109375" style="243" customWidth="1"/>
    <col min="5388" max="5414" width="8.42578125" style="243" customWidth="1"/>
    <col min="5415" max="5415" width="11.42578125" style="243" customWidth="1"/>
    <col min="5416" max="5416" width="9.42578125" style="243" customWidth="1"/>
    <col min="5417" max="5417" width="11.5703125" style="243" bestFit="1" customWidth="1"/>
    <col min="5418" max="5418" width="9.28515625" style="243" bestFit="1" customWidth="1"/>
    <col min="5419" max="5639" width="9.140625" style="243"/>
    <col min="5640" max="5640" width="3.7109375" style="243" customWidth="1"/>
    <col min="5641" max="5641" width="34.42578125" style="243" customWidth="1"/>
    <col min="5642" max="5642" width="11.5703125" style="243" customWidth="1"/>
    <col min="5643" max="5643" width="11.7109375" style="243" customWidth="1"/>
    <col min="5644" max="5670" width="8.42578125" style="243" customWidth="1"/>
    <col min="5671" max="5671" width="11.42578125" style="243" customWidth="1"/>
    <col min="5672" max="5672" width="9.42578125" style="243" customWidth="1"/>
    <col min="5673" max="5673" width="11.5703125" style="243" bestFit="1" customWidth="1"/>
    <col min="5674" max="5674" width="9.28515625" style="243" bestFit="1" customWidth="1"/>
    <col min="5675" max="5895" width="9.140625" style="243"/>
    <col min="5896" max="5896" width="3.7109375" style="243" customWidth="1"/>
    <col min="5897" max="5897" width="34.42578125" style="243" customWidth="1"/>
    <col min="5898" max="5898" width="11.5703125" style="243" customWidth="1"/>
    <col min="5899" max="5899" width="11.7109375" style="243" customWidth="1"/>
    <col min="5900" max="5926" width="8.42578125" style="243" customWidth="1"/>
    <col min="5927" max="5927" width="11.42578125" style="243" customWidth="1"/>
    <col min="5928" max="5928" width="9.42578125" style="243" customWidth="1"/>
    <col min="5929" max="5929" width="11.5703125" style="243" bestFit="1" customWidth="1"/>
    <col min="5930" max="5930" width="9.28515625" style="243" bestFit="1" customWidth="1"/>
    <col min="5931" max="6151" width="9.140625" style="243"/>
    <col min="6152" max="6152" width="3.7109375" style="243" customWidth="1"/>
    <col min="6153" max="6153" width="34.42578125" style="243" customWidth="1"/>
    <col min="6154" max="6154" width="11.5703125" style="243" customWidth="1"/>
    <col min="6155" max="6155" width="11.7109375" style="243" customWidth="1"/>
    <col min="6156" max="6182" width="8.42578125" style="243" customWidth="1"/>
    <col min="6183" max="6183" width="11.42578125" style="243" customWidth="1"/>
    <col min="6184" max="6184" width="9.42578125" style="243" customWidth="1"/>
    <col min="6185" max="6185" width="11.5703125" style="243" bestFit="1" customWidth="1"/>
    <col min="6186" max="6186" width="9.28515625" style="243" bestFit="1" customWidth="1"/>
    <col min="6187" max="6407" width="9.140625" style="243"/>
    <col min="6408" max="6408" width="3.7109375" style="243" customWidth="1"/>
    <col min="6409" max="6409" width="34.42578125" style="243" customWidth="1"/>
    <col min="6410" max="6410" width="11.5703125" style="243" customWidth="1"/>
    <col min="6411" max="6411" width="11.7109375" style="243" customWidth="1"/>
    <col min="6412" max="6438" width="8.42578125" style="243" customWidth="1"/>
    <col min="6439" max="6439" width="11.42578125" style="243" customWidth="1"/>
    <col min="6440" max="6440" width="9.42578125" style="243" customWidth="1"/>
    <col min="6441" max="6441" width="11.5703125" style="243" bestFit="1" customWidth="1"/>
    <col min="6442" max="6442" width="9.28515625" style="243" bestFit="1" customWidth="1"/>
    <col min="6443" max="6663" width="9.140625" style="243"/>
    <col min="6664" max="6664" width="3.7109375" style="243" customWidth="1"/>
    <col min="6665" max="6665" width="34.42578125" style="243" customWidth="1"/>
    <col min="6666" max="6666" width="11.5703125" style="243" customWidth="1"/>
    <col min="6667" max="6667" width="11.7109375" style="243" customWidth="1"/>
    <col min="6668" max="6694" width="8.42578125" style="243" customWidth="1"/>
    <col min="6695" max="6695" width="11.42578125" style="243" customWidth="1"/>
    <col min="6696" max="6696" width="9.42578125" style="243" customWidth="1"/>
    <col min="6697" max="6697" width="11.5703125" style="243" bestFit="1" customWidth="1"/>
    <col min="6698" max="6698" width="9.28515625" style="243" bestFit="1" customWidth="1"/>
    <col min="6699" max="6919" width="9.140625" style="243"/>
    <col min="6920" max="6920" width="3.7109375" style="243" customWidth="1"/>
    <col min="6921" max="6921" width="34.42578125" style="243" customWidth="1"/>
    <col min="6922" max="6922" width="11.5703125" style="243" customWidth="1"/>
    <col min="6923" max="6923" width="11.7109375" style="243" customWidth="1"/>
    <col min="6924" max="6950" width="8.42578125" style="243" customWidth="1"/>
    <col min="6951" max="6951" width="11.42578125" style="243" customWidth="1"/>
    <col min="6952" max="6952" width="9.42578125" style="243" customWidth="1"/>
    <col min="6953" max="6953" width="11.5703125" style="243" bestFit="1" customWidth="1"/>
    <col min="6954" max="6954" width="9.28515625" style="243" bestFit="1" customWidth="1"/>
    <col min="6955" max="7175" width="9.140625" style="243"/>
    <col min="7176" max="7176" width="3.7109375" style="243" customWidth="1"/>
    <col min="7177" max="7177" width="34.42578125" style="243" customWidth="1"/>
    <col min="7178" max="7178" width="11.5703125" style="243" customWidth="1"/>
    <col min="7179" max="7179" width="11.7109375" style="243" customWidth="1"/>
    <col min="7180" max="7206" width="8.42578125" style="243" customWidth="1"/>
    <col min="7207" max="7207" width="11.42578125" style="243" customWidth="1"/>
    <col min="7208" max="7208" width="9.42578125" style="243" customWidth="1"/>
    <col min="7209" max="7209" width="11.5703125" style="243" bestFit="1" customWidth="1"/>
    <col min="7210" max="7210" width="9.28515625" style="243" bestFit="1" customWidth="1"/>
    <col min="7211" max="7431" width="9.140625" style="243"/>
    <col min="7432" max="7432" width="3.7109375" style="243" customWidth="1"/>
    <col min="7433" max="7433" width="34.42578125" style="243" customWidth="1"/>
    <col min="7434" max="7434" width="11.5703125" style="243" customWidth="1"/>
    <col min="7435" max="7435" width="11.7109375" style="243" customWidth="1"/>
    <col min="7436" max="7462" width="8.42578125" style="243" customWidth="1"/>
    <col min="7463" max="7463" width="11.42578125" style="243" customWidth="1"/>
    <col min="7464" max="7464" width="9.42578125" style="243" customWidth="1"/>
    <col min="7465" max="7465" width="11.5703125" style="243" bestFit="1" customWidth="1"/>
    <col min="7466" max="7466" width="9.28515625" style="243" bestFit="1" customWidth="1"/>
    <col min="7467" max="7687" width="9.140625" style="243"/>
    <col min="7688" max="7688" width="3.7109375" style="243" customWidth="1"/>
    <col min="7689" max="7689" width="34.42578125" style="243" customWidth="1"/>
    <col min="7690" max="7690" width="11.5703125" style="243" customWidth="1"/>
    <col min="7691" max="7691" width="11.7109375" style="243" customWidth="1"/>
    <col min="7692" max="7718" width="8.42578125" style="243" customWidth="1"/>
    <col min="7719" max="7719" width="11.42578125" style="243" customWidth="1"/>
    <col min="7720" max="7720" width="9.42578125" style="243" customWidth="1"/>
    <col min="7721" max="7721" width="11.5703125" style="243" bestFit="1" customWidth="1"/>
    <col min="7722" max="7722" width="9.28515625" style="243" bestFit="1" customWidth="1"/>
    <col min="7723" max="7943" width="9.140625" style="243"/>
    <col min="7944" max="7944" width="3.7109375" style="243" customWidth="1"/>
    <col min="7945" max="7945" width="34.42578125" style="243" customWidth="1"/>
    <col min="7946" max="7946" width="11.5703125" style="243" customWidth="1"/>
    <col min="7947" max="7947" width="11.7109375" style="243" customWidth="1"/>
    <col min="7948" max="7974" width="8.42578125" style="243" customWidth="1"/>
    <col min="7975" max="7975" width="11.42578125" style="243" customWidth="1"/>
    <col min="7976" max="7976" width="9.42578125" style="243" customWidth="1"/>
    <col min="7977" max="7977" width="11.5703125" style="243" bestFit="1" customWidth="1"/>
    <col min="7978" max="7978" width="9.28515625" style="243" bestFit="1" customWidth="1"/>
    <col min="7979" max="8199" width="9.140625" style="243"/>
    <col min="8200" max="8200" width="3.7109375" style="243" customWidth="1"/>
    <col min="8201" max="8201" width="34.42578125" style="243" customWidth="1"/>
    <col min="8202" max="8202" width="11.5703125" style="243" customWidth="1"/>
    <col min="8203" max="8203" width="11.7109375" style="243" customWidth="1"/>
    <col min="8204" max="8230" width="8.42578125" style="243" customWidth="1"/>
    <col min="8231" max="8231" width="11.42578125" style="243" customWidth="1"/>
    <col min="8232" max="8232" width="9.42578125" style="243" customWidth="1"/>
    <col min="8233" max="8233" width="11.5703125" style="243" bestFit="1" customWidth="1"/>
    <col min="8234" max="8234" width="9.28515625" style="243" bestFit="1" customWidth="1"/>
    <col min="8235" max="8455" width="9.140625" style="243"/>
    <col min="8456" max="8456" width="3.7109375" style="243" customWidth="1"/>
    <col min="8457" max="8457" width="34.42578125" style="243" customWidth="1"/>
    <col min="8458" max="8458" width="11.5703125" style="243" customWidth="1"/>
    <col min="8459" max="8459" width="11.7109375" style="243" customWidth="1"/>
    <col min="8460" max="8486" width="8.42578125" style="243" customWidth="1"/>
    <col min="8487" max="8487" width="11.42578125" style="243" customWidth="1"/>
    <col min="8488" max="8488" width="9.42578125" style="243" customWidth="1"/>
    <col min="8489" max="8489" width="11.5703125" style="243" bestFit="1" customWidth="1"/>
    <col min="8490" max="8490" width="9.28515625" style="243" bestFit="1" customWidth="1"/>
    <col min="8491" max="8711" width="9.140625" style="243"/>
    <col min="8712" max="8712" width="3.7109375" style="243" customWidth="1"/>
    <col min="8713" max="8713" width="34.42578125" style="243" customWidth="1"/>
    <col min="8714" max="8714" width="11.5703125" style="243" customWidth="1"/>
    <col min="8715" max="8715" width="11.7109375" style="243" customWidth="1"/>
    <col min="8716" max="8742" width="8.42578125" style="243" customWidth="1"/>
    <col min="8743" max="8743" width="11.42578125" style="243" customWidth="1"/>
    <col min="8744" max="8744" width="9.42578125" style="243" customWidth="1"/>
    <col min="8745" max="8745" width="11.5703125" style="243" bestFit="1" customWidth="1"/>
    <col min="8746" max="8746" width="9.28515625" style="243" bestFit="1" customWidth="1"/>
    <col min="8747" max="8967" width="9.140625" style="243"/>
    <col min="8968" max="8968" width="3.7109375" style="243" customWidth="1"/>
    <col min="8969" max="8969" width="34.42578125" style="243" customWidth="1"/>
    <col min="8970" max="8970" width="11.5703125" style="243" customWidth="1"/>
    <col min="8971" max="8971" width="11.7109375" style="243" customWidth="1"/>
    <col min="8972" max="8998" width="8.42578125" style="243" customWidth="1"/>
    <col min="8999" max="8999" width="11.42578125" style="243" customWidth="1"/>
    <col min="9000" max="9000" width="9.42578125" style="243" customWidth="1"/>
    <col min="9001" max="9001" width="11.5703125" style="243" bestFit="1" customWidth="1"/>
    <col min="9002" max="9002" width="9.28515625" style="243" bestFit="1" customWidth="1"/>
    <col min="9003" max="9223" width="9.140625" style="243"/>
    <col min="9224" max="9224" width="3.7109375" style="243" customWidth="1"/>
    <col min="9225" max="9225" width="34.42578125" style="243" customWidth="1"/>
    <col min="9226" max="9226" width="11.5703125" style="243" customWidth="1"/>
    <col min="9227" max="9227" width="11.7109375" style="243" customWidth="1"/>
    <col min="9228" max="9254" width="8.42578125" style="243" customWidth="1"/>
    <col min="9255" max="9255" width="11.42578125" style="243" customWidth="1"/>
    <col min="9256" max="9256" width="9.42578125" style="243" customWidth="1"/>
    <col min="9257" max="9257" width="11.5703125" style="243" bestFit="1" customWidth="1"/>
    <col min="9258" max="9258" width="9.28515625" style="243" bestFit="1" customWidth="1"/>
    <col min="9259" max="9479" width="9.140625" style="243"/>
    <col min="9480" max="9480" width="3.7109375" style="243" customWidth="1"/>
    <col min="9481" max="9481" width="34.42578125" style="243" customWidth="1"/>
    <col min="9482" max="9482" width="11.5703125" style="243" customWidth="1"/>
    <col min="9483" max="9483" width="11.7109375" style="243" customWidth="1"/>
    <col min="9484" max="9510" width="8.42578125" style="243" customWidth="1"/>
    <col min="9511" max="9511" width="11.42578125" style="243" customWidth="1"/>
    <col min="9512" max="9512" width="9.42578125" style="243" customWidth="1"/>
    <col min="9513" max="9513" width="11.5703125" style="243" bestFit="1" customWidth="1"/>
    <col min="9514" max="9514" width="9.28515625" style="243" bestFit="1" customWidth="1"/>
    <col min="9515" max="9735" width="9.140625" style="243"/>
    <col min="9736" max="9736" width="3.7109375" style="243" customWidth="1"/>
    <col min="9737" max="9737" width="34.42578125" style="243" customWidth="1"/>
    <col min="9738" max="9738" width="11.5703125" style="243" customWidth="1"/>
    <col min="9739" max="9739" width="11.7109375" style="243" customWidth="1"/>
    <col min="9740" max="9766" width="8.42578125" style="243" customWidth="1"/>
    <col min="9767" max="9767" width="11.42578125" style="243" customWidth="1"/>
    <col min="9768" max="9768" width="9.42578125" style="243" customWidth="1"/>
    <col min="9769" max="9769" width="11.5703125" style="243" bestFit="1" customWidth="1"/>
    <col min="9770" max="9770" width="9.28515625" style="243" bestFit="1" customWidth="1"/>
    <col min="9771" max="9991" width="9.140625" style="243"/>
    <col min="9992" max="9992" width="3.7109375" style="243" customWidth="1"/>
    <col min="9993" max="9993" width="34.42578125" style="243" customWidth="1"/>
    <col min="9994" max="9994" width="11.5703125" style="243" customWidth="1"/>
    <col min="9995" max="9995" width="11.7109375" style="243" customWidth="1"/>
    <col min="9996" max="10022" width="8.42578125" style="243" customWidth="1"/>
    <col min="10023" max="10023" width="11.42578125" style="243" customWidth="1"/>
    <col min="10024" max="10024" width="9.42578125" style="243" customWidth="1"/>
    <col min="10025" max="10025" width="11.5703125" style="243" bestFit="1" customWidth="1"/>
    <col min="10026" max="10026" width="9.28515625" style="243" bestFit="1" customWidth="1"/>
    <col min="10027" max="10247" width="9.140625" style="243"/>
    <col min="10248" max="10248" width="3.7109375" style="243" customWidth="1"/>
    <col min="10249" max="10249" width="34.42578125" style="243" customWidth="1"/>
    <col min="10250" max="10250" width="11.5703125" style="243" customWidth="1"/>
    <col min="10251" max="10251" width="11.7109375" style="243" customWidth="1"/>
    <col min="10252" max="10278" width="8.42578125" style="243" customWidth="1"/>
    <col min="10279" max="10279" width="11.42578125" style="243" customWidth="1"/>
    <col min="10280" max="10280" width="9.42578125" style="243" customWidth="1"/>
    <col min="10281" max="10281" width="11.5703125" style="243" bestFit="1" customWidth="1"/>
    <col min="10282" max="10282" width="9.28515625" style="243" bestFit="1" customWidth="1"/>
    <col min="10283" max="10503" width="9.140625" style="243"/>
    <col min="10504" max="10504" width="3.7109375" style="243" customWidth="1"/>
    <col min="10505" max="10505" width="34.42578125" style="243" customWidth="1"/>
    <col min="10506" max="10506" width="11.5703125" style="243" customWidth="1"/>
    <col min="10507" max="10507" width="11.7109375" style="243" customWidth="1"/>
    <col min="10508" max="10534" width="8.42578125" style="243" customWidth="1"/>
    <col min="10535" max="10535" width="11.42578125" style="243" customWidth="1"/>
    <col min="10536" max="10536" width="9.42578125" style="243" customWidth="1"/>
    <col min="10537" max="10537" width="11.5703125" style="243" bestFit="1" customWidth="1"/>
    <col min="10538" max="10538" width="9.28515625" style="243" bestFit="1" customWidth="1"/>
    <col min="10539" max="10759" width="9.140625" style="243"/>
    <col min="10760" max="10760" width="3.7109375" style="243" customWidth="1"/>
    <col min="10761" max="10761" width="34.42578125" style="243" customWidth="1"/>
    <col min="10762" max="10762" width="11.5703125" style="243" customWidth="1"/>
    <col min="10763" max="10763" width="11.7109375" style="243" customWidth="1"/>
    <col min="10764" max="10790" width="8.42578125" style="243" customWidth="1"/>
    <col min="10791" max="10791" width="11.42578125" style="243" customWidth="1"/>
    <col min="10792" max="10792" width="9.42578125" style="243" customWidth="1"/>
    <col min="10793" max="10793" width="11.5703125" style="243" bestFit="1" customWidth="1"/>
    <col min="10794" max="10794" width="9.28515625" style="243" bestFit="1" customWidth="1"/>
    <col min="10795" max="11015" width="9.140625" style="243"/>
    <col min="11016" max="11016" width="3.7109375" style="243" customWidth="1"/>
    <col min="11017" max="11017" width="34.42578125" style="243" customWidth="1"/>
    <col min="11018" max="11018" width="11.5703125" style="243" customWidth="1"/>
    <col min="11019" max="11019" width="11.7109375" style="243" customWidth="1"/>
    <col min="11020" max="11046" width="8.42578125" style="243" customWidth="1"/>
    <col min="11047" max="11047" width="11.42578125" style="243" customWidth="1"/>
    <col min="11048" max="11048" width="9.42578125" style="243" customWidth="1"/>
    <col min="11049" max="11049" width="11.5703125" style="243" bestFit="1" customWidth="1"/>
    <col min="11050" max="11050" width="9.28515625" style="243" bestFit="1" customWidth="1"/>
    <col min="11051" max="11271" width="9.140625" style="243"/>
    <col min="11272" max="11272" width="3.7109375" style="243" customWidth="1"/>
    <col min="11273" max="11273" width="34.42578125" style="243" customWidth="1"/>
    <col min="11274" max="11274" width="11.5703125" style="243" customWidth="1"/>
    <col min="11275" max="11275" width="11.7109375" style="243" customWidth="1"/>
    <col min="11276" max="11302" width="8.42578125" style="243" customWidth="1"/>
    <col min="11303" max="11303" width="11.42578125" style="243" customWidth="1"/>
    <col min="11304" max="11304" width="9.42578125" style="243" customWidth="1"/>
    <col min="11305" max="11305" width="11.5703125" style="243" bestFit="1" customWidth="1"/>
    <col min="11306" max="11306" width="9.28515625" style="243" bestFit="1" customWidth="1"/>
    <col min="11307" max="11527" width="9.140625" style="243"/>
    <col min="11528" max="11528" width="3.7109375" style="243" customWidth="1"/>
    <col min="11529" max="11529" width="34.42578125" style="243" customWidth="1"/>
    <col min="11530" max="11530" width="11.5703125" style="243" customWidth="1"/>
    <col min="11531" max="11531" width="11.7109375" style="243" customWidth="1"/>
    <col min="11532" max="11558" width="8.42578125" style="243" customWidth="1"/>
    <col min="11559" max="11559" width="11.42578125" style="243" customWidth="1"/>
    <col min="11560" max="11560" width="9.42578125" style="243" customWidth="1"/>
    <col min="11561" max="11561" width="11.5703125" style="243" bestFit="1" customWidth="1"/>
    <col min="11562" max="11562" width="9.28515625" style="243" bestFit="1" customWidth="1"/>
    <col min="11563" max="11783" width="9.140625" style="243"/>
    <col min="11784" max="11784" width="3.7109375" style="243" customWidth="1"/>
    <col min="11785" max="11785" width="34.42578125" style="243" customWidth="1"/>
    <col min="11786" max="11786" width="11.5703125" style="243" customWidth="1"/>
    <col min="11787" max="11787" width="11.7109375" style="243" customWidth="1"/>
    <col min="11788" max="11814" width="8.42578125" style="243" customWidth="1"/>
    <col min="11815" max="11815" width="11.42578125" style="243" customWidth="1"/>
    <col min="11816" max="11816" width="9.42578125" style="243" customWidth="1"/>
    <col min="11817" max="11817" width="11.5703125" style="243" bestFit="1" customWidth="1"/>
    <col min="11818" max="11818" width="9.28515625" style="243" bestFit="1" customWidth="1"/>
    <col min="11819" max="12039" width="9.140625" style="243"/>
    <col min="12040" max="12040" width="3.7109375" style="243" customWidth="1"/>
    <col min="12041" max="12041" width="34.42578125" style="243" customWidth="1"/>
    <col min="12042" max="12042" width="11.5703125" style="243" customWidth="1"/>
    <col min="12043" max="12043" width="11.7109375" style="243" customWidth="1"/>
    <col min="12044" max="12070" width="8.42578125" style="243" customWidth="1"/>
    <col min="12071" max="12071" width="11.42578125" style="243" customWidth="1"/>
    <col min="12072" max="12072" width="9.42578125" style="243" customWidth="1"/>
    <col min="12073" max="12073" width="11.5703125" style="243" bestFit="1" customWidth="1"/>
    <col min="12074" max="12074" width="9.28515625" style="243" bestFit="1" customWidth="1"/>
    <col min="12075" max="12295" width="9.140625" style="243"/>
    <col min="12296" max="12296" width="3.7109375" style="243" customWidth="1"/>
    <col min="12297" max="12297" width="34.42578125" style="243" customWidth="1"/>
    <col min="12298" max="12298" width="11.5703125" style="243" customWidth="1"/>
    <col min="12299" max="12299" width="11.7109375" style="243" customWidth="1"/>
    <col min="12300" max="12326" width="8.42578125" style="243" customWidth="1"/>
    <col min="12327" max="12327" width="11.42578125" style="243" customWidth="1"/>
    <col min="12328" max="12328" width="9.42578125" style="243" customWidth="1"/>
    <col min="12329" max="12329" width="11.5703125" style="243" bestFit="1" customWidth="1"/>
    <col min="12330" max="12330" width="9.28515625" style="243" bestFit="1" customWidth="1"/>
    <col min="12331" max="12551" width="9.140625" style="243"/>
    <col min="12552" max="12552" width="3.7109375" style="243" customWidth="1"/>
    <col min="12553" max="12553" width="34.42578125" style="243" customWidth="1"/>
    <col min="12554" max="12554" width="11.5703125" style="243" customWidth="1"/>
    <col min="12555" max="12555" width="11.7109375" style="243" customWidth="1"/>
    <col min="12556" max="12582" width="8.42578125" style="243" customWidth="1"/>
    <col min="12583" max="12583" width="11.42578125" style="243" customWidth="1"/>
    <col min="12584" max="12584" width="9.42578125" style="243" customWidth="1"/>
    <col min="12585" max="12585" width="11.5703125" style="243" bestFit="1" customWidth="1"/>
    <col min="12586" max="12586" width="9.28515625" style="243" bestFit="1" customWidth="1"/>
    <col min="12587" max="12807" width="9.140625" style="243"/>
    <col min="12808" max="12808" width="3.7109375" style="243" customWidth="1"/>
    <col min="12809" max="12809" width="34.42578125" style="243" customWidth="1"/>
    <col min="12810" max="12810" width="11.5703125" style="243" customWidth="1"/>
    <col min="12811" max="12811" width="11.7109375" style="243" customWidth="1"/>
    <col min="12812" max="12838" width="8.42578125" style="243" customWidth="1"/>
    <col min="12839" max="12839" width="11.42578125" style="243" customWidth="1"/>
    <col min="12840" max="12840" width="9.42578125" style="243" customWidth="1"/>
    <col min="12841" max="12841" width="11.5703125" style="243" bestFit="1" customWidth="1"/>
    <col min="12842" max="12842" width="9.28515625" style="243" bestFit="1" customWidth="1"/>
    <col min="12843" max="13063" width="9.140625" style="243"/>
    <col min="13064" max="13064" width="3.7109375" style="243" customWidth="1"/>
    <col min="13065" max="13065" width="34.42578125" style="243" customWidth="1"/>
    <col min="13066" max="13066" width="11.5703125" style="243" customWidth="1"/>
    <col min="13067" max="13067" width="11.7109375" style="243" customWidth="1"/>
    <col min="13068" max="13094" width="8.42578125" style="243" customWidth="1"/>
    <col min="13095" max="13095" width="11.42578125" style="243" customWidth="1"/>
    <col min="13096" max="13096" width="9.42578125" style="243" customWidth="1"/>
    <col min="13097" max="13097" width="11.5703125" style="243" bestFit="1" customWidth="1"/>
    <col min="13098" max="13098" width="9.28515625" style="243" bestFit="1" customWidth="1"/>
    <col min="13099" max="13319" width="9.140625" style="243"/>
    <col min="13320" max="13320" width="3.7109375" style="243" customWidth="1"/>
    <col min="13321" max="13321" width="34.42578125" style="243" customWidth="1"/>
    <col min="13322" max="13322" width="11.5703125" style="243" customWidth="1"/>
    <col min="13323" max="13323" width="11.7109375" style="243" customWidth="1"/>
    <col min="13324" max="13350" width="8.42578125" style="243" customWidth="1"/>
    <col min="13351" max="13351" width="11.42578125" style="243" customWidth="1"/>
    <col min="13352" max="13352" width="9.42578125" style="243" customWidth="1"/>
    <col min="13353" max="13353" width="11.5703125" style="243" bestFit="1" customWidth="1"/>
    <col min="13354" max="13354" width="9.28515625" style="243" bestFit="1" customWidth="1"/>
    <col min="13355" max="13575" width="9.140625" style="243"/>
    <col min="13576" max="13576" width="3.7109375" style="243" customWidth="1"/>
    <col min="13577" max="13577" width="34.42578125" style="243" customWidth="1"/>
    <col min="13578" max="13578" width="11.5703125" style="243" customWidth="1"/>
    <col min="13579" max="13579" width="11.7109375" style="243" customWidth="1"/>
    <col min="13580" max="13606" width="8.42578125" style="243" customWidth="1"/>
    <col min="13607" max="13607" width="11.42578125" style="243" customWidth="1"/>
    <col min="13608" max="13608" width="9.42578125" style="243" customWidth="1"/>
    <col min="13609" max="13609" width="11.5703125" style="243" bestFit="1" customWidth="1"/>
    <col min="13610" max="13610" width="9.28515625" style="243" bestFit="1" customWidth="1"/>
    <col min="13611" max="13831" width="9.140625" style="243"/>
    <col min="13832" max="13832" width="3.7109375" style="243" customWidth="1"/>
    <col min="13833" max="13833" width="34.42578125" style="243" customWidth="1"/>
    <col min="13834" max="13834" width="11.5703125" style="243" customWidth="1"/>
    <col min="13835" max="13835" width="11.7109375" style="243" customWidth="1"/>
    <col min="13836" max="13862" width="8.42578125" style="243" customWidth="1"/>
    <col min="13863" max="13863" width="11.42578125" style="243" customWidth="1"/>
    <col min="13864" max="13864" width="9.42578125" style="243" customWidth="1"/>
    <col min="13865" max="13865" width="11.5703125" style="243" bestFit="1" customWidth="1"/>
    <col min="13866" max="13866" width="9.28515625" style="243" bestFit="1" customWidth="1"/>
    <col min="13867" max="14087" width="9.140625" style="243"/>
    <col min="14088" max="14088" width="3.7109375" style="243" customWidth="1"/>
    <col min="14089" max="14089" width="34.42578125" style="243" customWidth="1"/>
    <col min="14090" max="14090" width="11.5703125" style="243" customWidth="1"/>
    <col min="14091" max="14091" width="11.7109375" style="243" customWidth="1"/>
    <col min="14092" max="14118" width="8.42578125" style="243" customWidth="1"/>
    <col min="14119" max="14119" width="11.42578125" style="243" customWidth="1"/>
    <col min="14120" max="14120" width="9.42578125" style="243" customWidth="1"/>
    <col min="14121" max="14121" width="11.5703125" style="243" bestFit="1" customWidth="1"/>
    <col min="14122" max="14122" width="9.28515625" style="243" bestFit="1" customWidth="1"/>
    <col min="14123" max="14343" width="9.140625" style="243"/>
    <col min="14344" max="14344" width="3.7109375" style="243" customWidth="1"/>
    <col min="14345" max="14345" width="34.42578125" style="243" customWidth="1"/>
    <col min="14346" max="14346" width="11.5703125" style="243" customWidth="1"/>
    <col min="14347" max="14347" width="11.7109375" style="243" customWidth="1"/>
    <col min="14348" max="14374" width="8.42578125" style="243" customWidth="1"/>
    <col min="14375" max="14375" width="11.42578125" style="243" customWidth="1"/>
    <col min="14376" max="14376" width="9.42578125" style="243" customWidth="1"/>
    <col min="14377" max="14377" width="11.5703125" style="243" bestFit="1" customWidth="1"/>
    <col min="14378" max="14378" width="9.28515625" style="243" bestFit="1" customWidth="1"/>
    <col min="14379" max="14599" width="9.140625" style="243"/>
    <col min="14600" max="14600" width="3.7109375" style="243" customWidth="1"/>
    <col min="14601" max="14601" width="34.42578125" style="243" customWidth="1"/>
    <col min="14602" max="14602" width="11.5703125" style="243" customWidth="1"/>
    <col min="14603" max="14603" width="11.7109375" style="243" customWidth="1"/>
    <col min="14604" max="14630" width="8.42578125" style="243" customWidth="1"/>
    <col min="14631" max="14631" width="11.42578125" style="243" customWidth="1"/>
    <col min="14632" max="14632" width="9.42578125" style="243" customWidth="1"/>
    <col min="14633" max="14633" width="11.5703125" style="243" bestFit="1" customWidth="1"/>
    <col min="14634" max="14634" width="9.28515625" style="243" bestFit="1" customWidth="1"/>
    <col min="14635" max="14855" width="9.140625" style="243"/>
    <col min="14856" max="14856" width="3.7109375" style="243" customWidth="1"/>
    <col min="14857" max="14857" width="34.42578125" style="243" customWidth="1"/>
    <col min="14858" max="14858" width="11.5703125" style="243" customWidth="1"/>
    <col min="14859" max="14859" width="11.7109375" style="243" customWidth="1"/>
    <col min="14860" max="14886" width="8.42578125" style="243" customWidth="1"/>
    <col min="14887" max="14887" width="11.42578125" style="243" customWidth="1"/>
    <col min="14888" max="14888" width="9.42578125" style="243" customWidth="1"/>
    <col min="14889" max="14889" width="11.5703125" style="243" bestFit="1" customWidth="1"/>
    <col min="14890" max="14890" width="9.28515625" style="243" bestFit="1" customWidth="1"/>
    <col min="14891" max="15111" width="9.140625" style="243"/>
    <col min="15112" max="15112" width="3.7109375" style="243" customWidth="1"/>
    <col min="15113" max="15113" width="34.42578125" style="243" customWidth="1"/>
    <col min="15114" max="15114" width="11.5703125" style="243" customWidth="1"/>
    <col min="15115" max="15115" width="11.7109375" style="243" customWidth="1"/>
    <col min="15116" max="15142" width="8.42578125" style="243" customWidth="1"/>
    <col min="15143" max="15143" width="11.42578125" style="243" customWidth="1"/>
    <col min="15144" max="15144" width="9.42578125" style="243" customWidth="1"/>
    <col min="15145" max="15145" width="11.5703125" style="243" bestFit="1" customWidth="1"/>
    <col min="15146" max="15146" width="9.28515625" style="243" bestFit="1" customWidth="1"/>
    <col min="15147" max="15367" width="9.140625" style="243"/>
    <col min="15368" max="15368" width="3.7109375" style="243" customWidth="1"/>
    <col min="15369" max="15369" width="34.42578125" style="243" customWidth="1"/>
    <col min="15370" max="15370" width="11.5703125" style="243" customWidth="1"/>
    <col min="15371" max="15371" width="11.7109375" style="243" customWidth="1"/>
    <col min="15372" max="15398" width="8.42578125" style="243" customWidth="1"/>
    <col min="15399" max="15399" width="11.42578125" style="243" customWidth="1"/>
    <col min="15400" max="15400" width="9.42578125" style="243" customWidth="1"/>
    <col min="15401" max="15401" width="11.5703125" style="243" bestFit="1" customWidth="1"/>
    <col min="15402" max="15402" width="9.28515625" style="243" bestFit="1" customWidth="1"/>
    <col min="15403" max="15623" width="9.140625" style="243"/>
    <col min="15624" max="15624" width="3.7109375" style="243" customWidth="1"/>
    <col min="15625" max="15625" width="34.42578125" style="243" customWidth="1"/>
    <col min="15626" max="15626" width="11.5703125" style="243" customWidth="1"/>
    <col min="15627" max="15627" width="11.7109375" style="243" customWidth="1"/>
    <col min="15628" max="15654" width="8.42578125" style="243" customWidth="1"/>
    <col min="15655" max="15655" width="11.42578125" style="243" customWidth="1"/>
    <col min="15656" max="15656" width="9.42578125" style="243" customWidth="1"/>
    <col min="15657" max="15657" width="11.5703125" style="243" bestFit="1" customWidth="1"/>
    <col min="15658" max="15658" width="9.28515625" style="243" bestFit="1" customWidth="1"/>
    <col min="15659" max="15879" width="9.140625" style="243"/>
    <col min="15880" max="15880" width="3.7109375" style="243" customWidth="1"/>
    <col min="15881" max="15881" width="34.42578125" style="243" customWidth="1"/>
    <col min="15882" max="15882" width="11.5703125" style="243" customWidth="1"/>
    <col min="15883" max="15883" width="11.7109375" style="243" customWidth="1"/>
    <col min="15884" max="15910" width="8.42578125" style="243" customWidth="1"/>
    <col min="15911" max="15911" width="11.42578125" style="243" customWidth="1"/>
    <col min="15912" max="15912" width="9.42578125" style="243" customWidth="1"/>
    <col min="15913" max="15913" width="11.5703125" style="243" bestFit="1" customWidth="1"/>
    <col min="15914" max="15914" width="9.28515625" style="243" bestFit="1" customWidth="1"/>
    <col min="15915" max="16135" width="9.140625" style="243"/>
    <col min="16136" max="16136" width="3.7109375" style="243" customWidth="1"/>
    <col min="16137" max="16137" width="34.42578125" style="243" customWidth="1"/>
    <col min="16138" max="16138" width="11.5703125" style="243" customWidth="1"/>
    <col min="16139" max="16139" width="11.7109375" style="243" customWidth="1"/>
    <col min="16140" max="16166" width="8.42578125" style="243" customWidth="1"/>
    <col min="16167" max="16167" width="11.42578125" style="243" customWidth="1"/>
    <col min="16168" max="16168" width="9.42578125" style="243" customWidth="1"/>
    <col min="16169" max="16169" width="11.5703125" style="243" bestFit="1" customWidth="1"/>
    <col min="16170" max="16170" width="9.28515625" style="243" bestFit="1" customWidth="1"/>
    <col min="16171" max="16384" width="9.140625" style="243"/>
  </cols>
  <sheetData>
    <row r="1" spans="1:47" hidden="1" outlineLevel="1" x14ac:dyDescent="0.2">
      <c r="D1" s="163" t="s">
        <v>73</v>
      </c>
      <c r="E1" s="164">
        <f>E45+'табель сирот'!D43</f>
        <v>2</v>
      </c>
      <c r="F1" s="164">
        <f>F44+'табель сирот'!E43</f>
        <v>1</v>
      </c>
      <c r="G1" s="164">
        <f>G44+'табель сирот'!F43</f>
        <v>2</v>
      </c>
      <c r="H1" s="164">
        <f>H44+'табель сирот'!G43</f>
        <v>2</v>
      </c>
      <c r="I1" s="164">
        <f>I44+'табель сирот'!H43</f>
        <v>0</v>
      </c>
      <c r="J1" s="164">
        <f>J44+'табель сирот'!I43</f>
        <v>2</v>
      </c>
      <c r="K1" s="164"/>
      <c r="L1" s="164">
        <f>L44+'табель сирот'!K43</f>
        <v>1</v>
      </c>
      <c r="M1" s="164"/>
      <c r="N1" s="164">
        <f>N44+'табель сирот'!M43</f>
        <v>2</v>
      </c>
      <c r="O1" s="164">
        <f>O44+'табель сирот'!N43</f>
        <v>1</v>
      </c>
      <c r="P1" s="164">
        <f>P44+'табель сирот'!O43</f>
        <v>0</v>
      </c>
      <c r="Q1" s="164">
        <f>Q44+'табель сирот'!P43</f>
        <v>1</v>
      </c>
      <c r="R1" s="164"/>
      <c r="S1" s="164">
        <f>S44+'табель сирот'!R43</f>
        <v>2</v>
      </c>
      <c r="T1" s="164">
        <f>T44+'табель сирот'!S43</f>
        <v>2</v>
      </c>
      <c r="U1" s="164">
        <f>U44+'табель сирот'!T43</f>
        <v>0</v>
      </c>
      <c r="V1" s="164">
        <f>V44+'табель сирот'!U43</f>
        <v>1</v>
      </c>
      <c r="W1" s="164">
        <f>W44+'табель сирот'!V43</f>
        <v>0</v>
      </c>
      <c r="X1" s="164">
        <f>X44+'табель сирот'!W43</f>
        <v>0</v>
      </c>
      <c r="Y1" s="164">
        <f>Y44+'табель сирот'!Y43</f>
        <v>1</v>
      </c>
      <c r="Z1" s="164">
        <f>Z44+'табель сирот'!Z43</f>
        <v>1</v>
      </c>
      <c r="AA1" s="164">
        <f>AA44+'табель сирот'!AA43</f>
        <v>1</v>
      </c>
      <c r="AB1" s="164">
        <f>AB44+'табель сирот'!AB43</f>
        <v>0</v>
      </c>
      <c r="AC1" s="164">
        <f>AC44+'табель сирот'!AC43</f>
        <v>0</v>
      </c>
      <c r="AD1" s="164">
        <f>AD44+'табель сирот'!AD43</f>
        <v>0</v>
      </c>
      <c r="AE1" s="164"/>
      <c r="AF1" s="164">
        <f>AF44+'табель сирот'!AF43</f>
        <v>2</v>
      </c>
      <c r="AG1" s="164">
        <f>AG44+'табель сирот'!AH43</f>
        <v>2</v>
      </c>
      <c r="AH1" s="164">
        <f>AH44+'табель сирот'!AI43</f>
        <v>1</v>
      </c>
      <c r="AI1" s="164">
        <f>AI44+'табель сирот'!AJ43</f>
        <v>1</v>
      </c>
      <c r="AJ1" s="164"/>
      <c r="AK1" s="164"/>
      <c r="AL1" s="164"/>
      <c r="AM1" s="164"/>
      <c r="AN1" s="164"/>
      <c r="AO1" s="164"/>
    </row>
    <row r="2" spans="1:47" hidden="1" outlineLevel="1" x14ac:dyDescent="0.2">
      <c r="D2" s="165" t="s">
        <v>74</v>
      </c>
      <c r="E2" s="166" t="e">
        <f>E46+'табель сирот'!D44</f>
        <v>#REF!</v>
      </c>
      <c r="F2" s="166" t="e">
        <f>F45+'табель сирот'!E44</f>
        <v>#REF!</v>
      </c>
      <c r="G2" s="166" t="e">
        <f>G45+'табель сирот'!F44</f>
        <v>#REF!</v>
      </c>
      <c r="H2" s="166" t="e">
        <f>H45+'табель сирот'!G44</f>
        <v>#REF!</v>
      </c>
      <c r="I2" s="166" t="e">
        <f>I45+'табель сирот'!H44</f>
        <v>#REF!</v>
      </c>
      <c r="J2" s="166" t="e">
        <f>J45+'табель сирот'!I44</f>
        <v>#REF!</v>
      </c>
      <c r="K2" s="166"/>
      <c r="L2" s="166" t="e">
        <f>L45+'табель сирот'!K44</f>
        <v>#REF!</v>
      </c>
      <c r="M2" s="166"/>
      <c r="N2" s="166" t="e">
        <f>N45+'табель сирот'!M44</f>
        <v>#REF!</v>
      </c>
      <c r="O2" s="166" t="e">
        <f>O45+'табель сирот'!N44</f>
        <v>#REF!</v>
      </c>
      <c r="P2" s="166" t="e">
        <f>P45+'табель сирот'!O44</f>
        <v>#REF!</v>
      </c>
      <c r="Q2" s="166" t="e">
        <f>Q45+'табель сирот'!P44</f>
        <v>#REF!</v>
      </c>
      <c r="R2" s="166"/>
      <c r="S2" s="166" t="e">
        <f>S45+'табель сирот'!R44</f>
        <v>#REF!</v>
      </c>
      <c r="T2" s="166" t="e">
        <f>T45+'табель сирот'!S44</f>
        <v>#REF!</v>
      </c>
      <c r="U2" s="166" t="e">
        <f>U45+'табель сирот'!T44</f>
        <v>#REF!</v>
      </c>
      <c r="V2" s="166" t="e">
        <f>V45+'табель сирот'!U44</f>
        <v>#REF!</v>
      </c>
      <c r="W2" s="166" t="e">
        <f>W45+'табель сирот'!V44</f>
        <v>#REF!</v>
      </c>
      <c r="X2" s="166" t="e">
        <f>X45+'табель сирот'!W44</f>
        <v>#REF!</v>
      </c>
      <c r="Y2" s="166" t="e">
        <f>Y45+'табель сирот'!Y44</f>
        <v>#REF!</v>
      </c>
      <c r="Z2" s="166" t="e">
        <f>Z45+'табель сирот'!Z44</f>
        <v>#REF!</v>
      </c>
      <c r="AA2" s="166" t="e">
        <f>AA45+'табель сирот'!AA44</f>
        <v>#REF!</v>
      </c>
      <c r="AB2" s="166" t="e">
        <f>AB45+'табель сирот'!AB44</f>
        <v>#REF!</v>
      </c>
      <c r="AC2" s="166" t="e">
        <f>AC45+'табель сирот'!AC44</f>
        <v>#REF!</v>
      </c>
      <c r="AD2" s="166" t="e">
        <f>AD45+'табель сирот'!AD44</f>
        <v>#REF!</v>
      </c>
      <c r="AE2" s="166"/>
      <c r="AF2" s="166" t="e">
        <f>AF45+'табель сирот'!AF44</f>
        <v>#REF!</v>
      </c>
      <c r="AG2" s="166" t="e">
        <f>AG45+'табель сирот'!AH44</f>
        <v>#REF!</v>
      </c>
      <c r="AH2" s="166" t="e">
        <f>AH45+'табель сирот'!AI44</f>
        <v>#REF!</v>
      </c>
      <c r="AI2" s="166" t="e">
        <f>AI45+'табель сирот'!AJ44</f>
        <v>#REF!</v>
      </c>
      <c r="AJ2" s="166"/>
      <c r="AK2" s="166"/>
      <c r="AL2" s="166"/>
      <c r="AM2" s="166"/>
      <c r="AN2" s="166"/>
      <c r="AO2" s="166"/>
    </row>
    <row r="3" spans="1:47" hidden="1" outlineLevel="1" x14ac:dyDescent="0.2">
      <c r="D3" s="167" t="s">
        <v>75</v>
      </c>
      <c r="E3" s="168" t="e">
        <f>E47+'табель сирот'!D45</f>
        <v>#REF!</v>
      </c>
      <c r="F3" s="168" t="e">
        <f>F46+'табель сирот'!E45</f>
        <v>#REF!</v>
      </c>
      <c r="G3" s="168" t="e">
        <f>G46+'табель сирот'!F45</f>
        <v>#REF!</v>
      </c>
      <c r="H3" s="168" t="e">
        <f>H46+'табель сирот'!G45</f>
        <v>#REF!</v>
      </c>
      <c r="I3" s="168" t="e">
        <f>I46+'табель сирот'!H45</f>
        <v>#REF!</v>
      </c>
      <c r="J3" s="168" t="e">
        <f>J46+'табель сирот'!I45</f>
        <v>#REF!</v>
      </c>
      <c r="K3" s="168"/>
      <c r="L3" s="168" t="e">
        <f>L46+'табель сирот'!K45</f>
        <v>#REF!</v>
      </c>
      <c r="M3" s="168"/>
      <c r="N3" s="168" t="e">
        <f>N46+'табель сирот'!M45</f>
        <v>#REF!</v>
      </c>
      <c r="O3" s="168" t="e">
        <f>O46+'табель сирот'!N45</f>
        <v>#REF!</v>
      </c>
      <c r="P3" s="168" t="e">
        <f>P46+'табель сирот'!O45</f>
        <v>#REF!</v>
      </c>
      <c r="Q3" s="168" t="e">
        <f>Q46+'табель сирот'!P45</f>
        <v>#REF!</v>
      </c>
      <c r="R3" s="168"/>
      <c r="S3" s="168" t="e">
        <f>S46+'табель сирот'!R45</f>
        <v>#REF!</v>
      </c>
      <c r="T3" s="168" t="e">
        <f>T46+'табель сирот'!S45</f>
        <v>#REF!</v>
      </c>
      <c r="U3" s="168" t="e">
        <f>U46+'табель сирот'!T45</f>
        <v>#REF!</v>
      </c>
      <c r="V3" s="168" t="e">
        <f>V46+'табель сирот'!U45</f>
        <v>#REF!</v>
      </c>
      <c r="W3" s="168" t="e">
        <f>W46+'табель сирот'!V45</f>
        <v>#REF!</v>
      </c>
      <c r="X3" s="168" t="e">
        <f>X46+'табель сирот'!W45</f>
        <v>#REF!</v>
      </c>
      <c r="Y3" s="168" t="e">
        <f>Y46+'табель сирот'!Y45</f>
        <v>#REF!</v>
      </c>
      <c r="Z3" s="168" t="e">
        <f>Z46+'табель сирот'!Z45</f>
        <v>#REF!</v>
      </c>
      <c r="AA3" s="168" t="e">
        <f>AA46+'табель сирот'!AA45</f>
        <v>#REF!</v>
      </c>
      <c r="AB3" s="168" t="e">
        <f>AB46+'табель сирот'!AB45</f>
        <v>#REF!</v>
      </c>
      <c r="AC3" s="168" t="e">
        <f>AC46+'табель сирот'!AC45</f>
        <v>#REF!</v>
      </c>
      <c r="AD3" s="168" t="e">
        <f>AD46+'табель сирот'!AD45</f>
        <v>#REF!</v>
      </c>
      <c r="AE3" s="168"/>
      <c r="AF3" s="168" t="e">
        <f>AF46+'табель сирот'!AF45</f>
        <v>#REF!</v>
      </c>
      <c r="AG3" s="168" t="e">
        <f>AG46+'табель сирот'!AH45</f>
        <v>#REF!</v>
      </c>
      <c r="AH3" s="168" t="e">
        <f>AH46+'табель сирот'!AI45</f>
        <v>#REF!</v>
      </c>
      <c r="AI3" s="168" t="e">
        <f>AI46+'табель сирот'!AJ45</f>
        <v>#REF!</v>
      </c>
      <c r="AJ3" s="168"/>
      <c r="AK3" s="168"/>
      <c r="AL3" s="168"/>
      <c r="AM3" s="168"/>
      <c r="AN3" s="168"/>
      <c r="AO3" s="168"/>
    </row>
    <row r="4" spans="1:47" hidden="1" outlineLevel="1" x14ac:dyDescent="0.2">
      <c r="D4" s="169" t="s">
        <v>76</v>
      </c>
      <c r="E4" s="170">
        <f>E48+'табель сирот'!D46</f>
        <v>2</v>
      </c>
      <c r="F4" s="170" t="e">
        <f>F47+'табель сирот'!E46</f>
        <v>#REF!</v>
      </c>
      <c r="G4" s="170" t="e">
        <f>G47+'табель сирот'!F46</f>
        <v>#REF!</v>
      </c>
      <c r="H4" s="170" t="e">
        <f>H47+'табель сирот'!G46</f>
        <v>#REF!</v>
      </c>
      <c r="I4" s="170" t="e">
        <f>I47+'табель сирот'!H46</f>
        <v>#REF!</v>
      </c>
      <c r="J4" s="170" t="e">
        <f>J47+'табель сирот'!I46</f>
        <v>#REF!</v>
      </c>
      <c r="K4" s="170"/>
      <c r="L4" s="170" t="e">
        <f>L47+'табель сирот'!K46</f>
        <v>#REF!</v>
      </c>
      <c r="M4" s="170"/>
      <c r="N4" s="170" t="e">
        <f>N47+'табель сирот'!M46</f>
        <v>#REF!</v>
      </c>
      <c r="O4" s="170" t="e">
        <f>O47+'табель сирот'!N46</f>
        <v>#REF!</v>
      </c>
      <c r="P4" s="170" t="e">
        <f>P47+'табель сирот'!O46</f>
        <v>#REF!</v>
      </c>
      <c r="Q4" s="170" t="e">
        <f>Q47+'табель сирот'!P46</f>
        <v>#REF!</v>
      </c>
      <c r="R4" s="170"/>
      <c r="S4" s="170" t="e">
        <f>S47+'табель сирот'!R46</f>
        <v>#REF!</v>
      </c>
      <c r="T4" s="170" t="e">
        <f>T47+'табель сирот'!S46</f>
        <v>#REF!</v>
      </c>
      <c r="U4" s="170" t="e">
        <f>U47+'табель сирот'!T46</f>
        <v>#REF!</v>
      </c>
      <c r="V4" s="170" t="e">
        <f>V47+'табель сирот'!U46</f>
        <v>#REF!</v>
      </c>
      <c r="W4" s="170" t="e">
        <f>W47+'табель сирот'!V46</f>
        <v>#REF!</v>
      </c>
      <c r="X4" s="170" t="e">
        <f>X47+'табель сирот'!W46</f>
        <v>#REF!</v>
      </c>
      <c r="Y4" s="170" t="e">
        <f>Y47+'табель сирот'!Y46</f>
        <v>#REF!</v>
      </c>
      <c r="Z4" s="170" t="e">
        <f>Z47+'табель сирот'!Z46</f>
        <v>#REF!</v>
      </c>
      <c r="AA4" s="170" t="e">
        <f>AA47+'табель сирот'!AA46</f>
        <v>#REF!</v>
      </c>
      <c r="AB4" s="170" t="e">
        <f>AB47+'табель сирот'!AB46</f>
        <v>#REF!</v>
      </c>
      <c r="AC4" s="170" t="e">
        <f>AC47+'табель сирот'!AC46</f>
        <v>#REF!</v>
      </c>
      <c r="AD4" s="170" t="e">
        <f>AD47+'табель сирот'!AD46</f>
        <v>#REF!</v>
      </c>
      <c r="AE4" s="170"/>
      <c r="AF4" s="170" t="e">
        <f>AF47+'табель сирот'!AF46</f>
        <v>#REF!</v>
      </c>
      <c r="AG4" s="170" t="e">
        <f>AG47+'табель сирот'!AH46</f>
        <v>#REF!</v>
      </c>
      <c r="AH4" s="170" t="e">
        <f>AH47+'табель сирот'!AI46</f>
        <v>#REF!</v>
      </c>
      <c r="AI4" s="170" t="e">
        <f>AI47+'табель сирот'!AJ46</f>
        <v>#REF!</v>
      </c>
      <c r="AJ4" s="170"/>
      <c r="AK4" s="170"/>
      <c r="AL4" s="170"/>
      <c r="AM4" s="170"/>
      <c r="AN4" s="170"/>
      <c r="AO4" s="170"/>
    </row>
    <row r="5" spans="1:47" hidden="1" outlineLevel="1" x14ac:dyDescent="0.2">
      <c r="E5" s="162" t="e">
        <f t="shared" ref="E5" si="0">SUM(E1:E4)</f>
        <v>#REF!</v>
      </c>
      <c r="F5" s="162" t="e">
        <f t="shared" ref="F5" si="1">SUM(F1:F4)</f>
        <v>#REF!</v>
      </c>
      <c r="G5" s="162" t="e">
        <f>SUM(G1:G4)</f>
        <v>#REF!</v>
      </c>
      <c r="H5" s="162" t="e">
        <f t="shared" ref="H5:I5" si="2">SUM(H1:H4)</f>
        <v>#REF!</v>
      </c>
      <c r="I5" s="162" t="e">
        <f t="shared" si="2"/>
        <v>#REF!</v>
      </c>
      <c r="J5" s="162" t="e">
        <f>SUM(J1:J4)</f>
        <v>#REF!</v>
      </c>
      <c r="K5" s="162"/>
      <c r="L5" s="162" t="e">
        <f t="shared" ref="L5" si="3">SUM(L1:L4)</f>
        <v>#REF!</v>
      </c>
      <c r="M5" s="162"/>
      <c r="N5" s="162" t="e">
        <f t="shared" ref="N5:U5" si="4">SUM(N1:N4)</f>
        <v>#REF!</v>
      </c>
      <c r="O5" s="162" t="e">
        <f t="shared" si="4"/>
        <v>#REF!</v>
      </c>
      <c r="P5" s="162" t="e">
        <f t="shared" si="4"/>
        <v>#REF!</v>
      </c>
      <c r="Q5" s="162" t="e">
        <f t="shared" si="4"/>
        <v>#REF!</v>
      </c>
      <c r="R5" s="162"/>
      <c r="S5" s="162" t="e">
        <f t="shared" si="4"/>
        <v>#REF!</v>
      </c>
      <c r="T5" s="162" t="e">
        <f t="shared" si="4"/>
        <v>#REF!</v>
      </c>
      <c r="U5" s="162" t="e">
        <f t="shared" si="4"/>
        <v>#REF!</v>
      </c>
      <c r="V5" s="162" t="e">
        <f>SUM(V1:V4)</f>
        <v>#REF!</v>
      </c>
      <c r="W5" s="162" t="e">
        <f t="shared" ref="W5:AA5" si="5">SUM(W1:W4)</f>
        <v>#REF!</v>
      </c>
      <c r="X5" s="162" t="e">
        <f t="shared" si="5"/>
        <v>#REF!</v>
      </c>
      <c r="Y5" s="162" t="e">
        <f t="shared" si="5"/>
        <v>#REF!</v>
      </c>
      <c r="Z5" s="162" t="e">
        <f t="shared" si="5"/>
        <v>#REF!</v>
      </c>
      <c r="AA5" s="162" t="e">
        <f t="shared" si="5"/>
        <v>#REF!</v>
      </c>
      <c r="AB5" s="162" t="e">
        <f>SUM(AB1:AB4)</f>
        <v>#REF!</v>
      </c>
      <c r="AC5" s="162" t="e">
        <f t="shared" ref="AC5:AI5" si="6">SUM(AC1:AC4)</f>
        <v>#REF!</v>
      </c>
      <c r="AD5" s="162" t="e">
        <f t="shared" si="6"/>
        <v>#REF!</v>
      </c>
      <c r="AE5" s="162"/>
      <c r="AF5" s="162" t="e">
        <f t="shared" si="6"/>
        <v>#REF!</v>
      </c>
      <c r="AG5" s="162" t="e">
        <f t="shared" si="6"/>
        <v>#REF!</v>
      </c>
      <c r="AH5" s="162" t="e">
        <f t="shared" si="6"/>
        <v>#REF!</v>
      </c>
      <c r="AI5" s="162" t="e">
        <f t="shared" si="6"/>
        <v>#REF!</v>
      </c>
      <c r="AJ5" s="162"/>
      <c r="AK5" s="162"/>
      <c r="AL5" s="162"/>
      <c r="AM5" s="162"/>
      <c r="AN5" s="162"/>
      <c r="AO5" s="162"/>
    </row>
    <row r="6" spans="1:47" s="135" customFormat="1" ht="11.25" hidden="1" customHeight="1" outlineLevel="1" x14ac:dyDescent="0.2">
      <c r="A6" s="134"/>
      <c r="D6" s="136" t="s">
        <v>60</v>
      </c>
      <c r="E6" s="171">
        <f>E34+'табель сирот'!D37-E40</f>
        <v>162.78</v>
      </c>
      <c r="F6" s="171">
        <f>F33+'табель сирот'!E37-F39</f>
        <v>-39</v>
      </c>
      <c r="G6" s="171">
        <f>G33+'табель сирот'!F37-G39</f>
        <v>-37</v>
      </c>
      <c r="H6" s="171">
        <f>H33+'табель сирот'!G37-H39</f>
        <v>-44</v>
      </c>
      <c r="I6" s="171">
        <f>I33+'табель сирот'!H37-I39</f>
        <v>-33</v>
      </c>
      <c r="J6" s="171">
        <f>J33+'табель сирот'!I37-J39</f>
        <v>-25</v>
      </c>
      <c r="K6" s="171"/>
      <c r="L6" s="171">
        <f>L33+'табель сирот'!K37-L39</f>
        <v>-44</v>
      </c>
      <c r="M6" s="171"/>
      <c r="N6" s="171">
        <f>N33+'табель сирот'!M37-N39</f>
        <v>-42</v>
      </c>
      <c r="O6" s="171">
        <f>O33+'табель сирот'!N37-O39</f>
        <v>-46</v>
      </c>
      <c r="P6" s="171">
        <f>P33+'табель сирот'!O37-P39</f>
        <v>-48</v>
      </c>
      <c r="Q6" s="171">
        <f>Q33+'табель сирот'!P37-Q39</f>
        <v>-35</v>
      </c>
      <c r="R6" s="171"/>
      <c r="S6" s="171">
        <f>S33+'табель сирот'!R37-S39</f>
        <v>-37</v>
      </c>
      <c r="T6" s="171">
        <f>T33+'табель сирот'!S37-T39</f>
        <v>-43</v>
      </c>
      <c r="U6" s="171">
        <f>U33+'табель сирот'!T37-U39</f>
        <v>-41</v>
      </c>
      <c r="V6" s="171">
        <f>V33+'табель сирот'!U37-V39</f>
        <v>-40</v>
      </c>
      <c r="W6" s="171">
        <f>W33+'табель сирот'!V37-W39</f>
        <v>0</v>
      </c>
      <c r="X6" s="171">
        <f>X33+'табель сирот'!W37-X39</f>
        <v>5</v>
      </c>
      <c r="Y6" s="171">
        <f>Y33+'табель сирот'!Y37-Y39</f>
        <v>2</v>
      </c>
      <c r="Z6" s="171">
        <f>Z33+'табель сирот'!Z37-Z39</f>
        <v>2</v>
      </c>
      <c r="AA6" s="171">
        <f>AA33+'табель сирот'!AA37-AA39</f>
        <v>2</v>
      </c>
      <c r="AB6" s="171">
        <f>AB33+'табель сирот'!AB37-AB39</f>
        <v>0</v>
      </c>
      <c r="AC6" s="171">
        <f>AC33+'табель сирот'!AC37-AC39</f>
        <v>0</v>
      </c>
      <c r="AD6" s="171">
        <f>AD33+'табель сирот'!AD37-AD39</f>
        <v>1</v>
      </c>
      <c r="AE6" s="171"/>
      <c r="AF6" s="171">
        <f>AF33+'табель сирот'!AF37-AF39</f>
        <v>8</v>
      </c>
      <c r="AG6" s="171">
        <f>AG33+'табель сирот'!AH37-AG39</f>
        <v>8</v>
      </c>
      <c r="AH6" s="171">
        <f>AH33+'табель сирот'!AI37-AH39</f>
        <v>6</v>
      </c>
      <c r="AI6" s="171">
        <f>AI33+'табель сирот'!AJ37-AI39</f>
        <v>4</v>
      </c>
      <c r="AJ6" s="171"/>
      <c r="AK6" s="171"/>
      <c r="AL6" s="171"/>
      <c r="AM6" s="171"/>
      <c r="AN6" s="171"/>
      <c r="AO6" s="171"/>
      <c r="AP6" s="148">
        <f>AP33+'табель сирот'!AQ37-AP39</f>
        <v>-491</v>
      </c>
      <c r="AQ6" s="134"/>
      <c r="AU6" s="134"/>
    </row>
    <row r="7" spans="1:47" s="140" customFormat="1" ht="32.25" customHeight="1" collapsed="1" x14ac:dyDescent="0.25">
      <c r="A7" s="138" t="s">
        <v>146</v>
      </c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 t="s">
        <v>0</v>
      </c>
      <c r="R7" s="138"/>
      <c r="S7" s="426" t="s">
        <v>148</v>
      </c>
      <c r="T7" s="426"/>
      <c r="U7" s="426"/>
      <c r="V7" s="138" t="s">
        <v>115</v>
      </c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41" t="s">
        <v>26</v>
      </c>
      <c r="AQ7" s="139"/>
      <c r="AU7" s="134"/>
    </row>
    <row r="8" spans="1:47" s="5" customFormat="1" ht="16.5" customHeight="1" x14ac:dyDescent="0.2">
      <c r="A8" s="4"/>
      <c r="C8" s="6"/>
      <c r="D8" s="4"/>
      <c r="AG8" s="7"/>
      <c r="AH8" s="7"/>
      <c r="AI8" s="7"/>
      <c r="AJ8" s="7"/>
      <c r="AK8" s="7"/>
      <c r="AL8" s="7"/>
      <c r="AM8" s="7"/>
      <c r="AN8" s="7"/>
      <c r="AO8" s="7"/>
      <c r="AP8" s="137"/>
      <c r="AQ8" s="4"/>
      <c r="AU8" s="172"/>
    </row>
    <row r="9" spans="1:47" s="9" customFormat="1" ht="21.75" customHeight="1" x14ac:dyDescent="0.2">
      <c r="A9" s="428" t="s">
        <v>1</v>
      </c>
      <c r="B9" s="429" t="s">
        <v>94</v>
      </c>
      <c r="C9" s="429"/>
      <c r="D9" s="242" t="s">
        <v>63</v>
      </c>
      <c r="E9" s="191">
        <v>1</v>
      </c>
      <c r="F9" s="192">
        <v>2</v>
      </c>
      <c r="G9" s="192">
        <v>3</v>
      </c>
      <c r="H9" s="192">
        <v>4</v>
      </c>
      <c r="I9" s="192">
        <v>5</v>
      </c>
      <c r="J9" s="192">
        <v>6</v>
      </c>
      <c r="K9" s="192">
        <v>7</v>
      </c>
      <c r="L9" s="192">
        <v>8</v>
      </c>
      <c r="M9" s="192">
        <v>9</v>
      </c>
      <c r="N9" s="192">
        <v>10</v>
      </c>
      <c r="O9" s="192">
        <v>11</v>
      </c>
      <c r="P9" s="192">
        <v>12</v>
      </c>
      <c r="Q9" s="192">
        <v>13</v>
      </c>
      <c r="R9" s="192">
        <v>14</v>
      </c>
      <c r="S9" s="192">
        <v>15</v>
      </c>
      <c r="T9" s="192">
        <v>16</v>
      </c>
      <c r="U9" s="192">
        <v>17</v>
      </c>
      <c r="V9" s="192">
        <v>18</v>
      </c>
      <c r="W9" s="192">
        <v>19</v>
      </c>
      <c r="X9" s="192">
        <v>20</v>
      </c>
      <c r="Y9" s="192"/>
      <c r="Z9" s="192"/>
      <c r="AA9" s="192"/>
      <c r="AB9" s="192"/>
      <c r="AC9" s="192"/>
      <c r="AD9" s="192"/>
      <c r="AE9" s="192">
        <v>21</v>
      </c>
      <c r="AF9" s="192">
        <v>22</v>
      </c>
      <c r="AG9" s="192">
        <v>23</v>
      </c>
      <c r="AH9" s="192">
        <v>24</v>
      </c>
      <c r="AI9" s="192">
        <v>25</v>
      </c>
      <c r="AJ9" s="192">
        <v>26</v>
      </c>
      <c r="AK9" s="192">
        <v>27</v>
      </c>
      <c r="AL9" s="192">
        <v>28</v>
      </c>
      <c r="AM9" s="192">
        <v>29</v>
      </c>
      <c r="AN9" s="192">
        <v>30</v>
      </c>
      <c r="AO9" s="192">
        <v>31</v>
      </c>
      <c r="AP9" s="427" t="s">
        <v>3</v>
      </c>
      <c r="AU9" s="172"/>
    </row>
    <row r="10" spans="1:47" s="9" customFormat="1" ht="14.25" customHeight="1" x14ac:dyDescent="0.2">
      <c r="A10" s="428"/>
      <c r="B10" s="429"/>
      <c r="C10" s="429"/>
      <c r="D10" s="428" t="s">
        <v>88</v>
      </c>
      <c r="E10" s="193" t="s">
        <v>4</v>
      </c>
      <c r="F10" s="193" t="s">
        <v>4</v>
      </c>
      <c r="G10" s="193" t="s">
        <v>4</v>
      </c>
      <c r="H10" s="193" t="s">
        <v>4</v>
      </c>
      <c r="I10" s="193" t="s">
        <v>4</v>
      </c>
      <c r="J10" s="193" t="s">
        <v>4</v>
      </c>
      <c r="K10" s="193" t="s">
        <v>4</v>
      </c>
      <c r="L10" s="193" t="s">
        <v>4</v>
      </c>
      <c r="M10" s="193" t="s">
        <v>4</v>
      </c>
      <c r="N10" s="193" t="s">
        <v>4</v>
      </c>
      <c r="O10" s="193" t="s">
        <v>4</v>
      </c>
      <c r="P10" s="193" t="s">
        <v>4</v>
      </c>
      <c r="Q10" s="193" t="s">
        <v>4</v>
      </c>
      <c r="R10" s="193" t="s">
        <v>4</v>
      </c>
      <c r="S10" s="193" t="s">
        <v>4</v>
      </c>
      <c r="T10" s="193" t="s">
        <v>4</v>
      </c>
      <c r="U10" s="193" t="s">
        <v>4</v>
      </c>
      <c r="V10" s="193" t="s">
        <v>4</v>
      </c>
      <c r="W10" s="193" t="s">
        <v>4</v>
      </c>
      <c r="X10" s="193" t="s">
        <v>4</v>
      </c>
      <c r="Y10" s="193" t="s">
        <v>4</v>
      </c>
      <c r="Z10" s="193" t="s">
        <v>4</v>
      </c>
      <c r="AA10" s="193" t="s">
        <v>4</v>
      </c>
      <c r="AB10" s="193" t="s">
        <v>4</v>
      </c>
      <c r="AC10" s="193" t="s">
        <v>4</v>
      </c>
      <c r="AD10" s="193" t="s">
        <v>4</v>
      </c>
      <c r="AE10" s="193" t="s">
        <v>4</v>
      </c>
      <c r="AF10" s="193" t="s">
        <v>4</v>
      </c>
      <c r="AG10" s="193" t="s">
        <v>4</v>
      </c>
      <c r="AH10" s="194" t="s">
        <v>4</v>
      </c>
      <c r="AI10" s="194" t="s">
        <v>4</v>
      </c>
      <c r="AJ10" s="194" t="s">
        <v>4</v>
      </c>
      <c r="AK10" s="194" t="s">
        <v>4</v>
      </c>
      <c r="AL10" s="194" t="s">
        <v>4</v>
      </c>
      <c r="AM10" s="194" t="s">
        <v>4</v>
      </c>
      <c r="AN10" s="194" t="s">
        <v>4</v>
      </c>
      <c r="AO10" s="194" t="s">
        <v>4</v>
      </c>
      <c r="AP10" s="427"/>
      <c r="AU10" s="172"/>
    </row>
    <row r="11" spans="1:47" s="6" customFormat="1" ht="39" customHeight="1" x14ac:dyDescent="0.2">
      <c r="A11" s="428"/>
      <c r="B11" s="429"/>
      <c r="C11" s="429"/>
      <c r="D11" s="428"/>
      <c r="E11" s="195">
        <v>99.89</v>
      </c>
      <c r="F11" s="195">
        <v>99.89</v>
      </c>
      <c r="G11" s="195">
        <v>99.89</v>
      </c>
      <c r="H11" s="195">
        <v>99.89</v>
      </c>
      <c r="I11" s="195">
        <v>99.89</v>
      </c>
      <c r="J11" s="195">
        <v>99.89</v>
      </c>
      <c r="K11" s="195">
        <v>99.89</v>
      </c>
      <c r="L11" s="195">
        <v>99.89</v>
      </c>
      <c r="M11" s="195">
        <v>99.89</v>
      </c>
      <c r="N11" s="195">
        <v>99.89</v>
      </c>
      <c r="O11" s="195">
        <v>99.89</v>
      </c>
      <c r="P11" s="195">
        <v>99.89</v>
      </c>
      <c r="Q11" s="195">
        <v>99.89</v>
      </c>
      <c r="R11" s="195">
        <v>99.89</v>
      </c>
      <c r="S11" s="195">
        <v>99.89</v>
      </c>
      <c r="T11" s="195">
        <v>99.89</v>
      </c>
      <c r="U11" s="195">
        <v>99.89</v>
      </c>
      <c r="V11" s="195">
        <v>99.89</v>
      </c>
      <c r="W11" s="195">
        <v>99.89</v>
      </c>
      <c r="X11" s="195">
        <v>99.89</v>
      </c>
      <c r="Y11" s="195">
        <v>68.760000000000005</v>
      </c>
      <c r="Z11" s="195">
        <v>68.760000000000005</v>
      </c>
      <c r="AA11" s="195">
        <v>68.760000000000005</v>
      </c>
      <c r="AB11" s="195">
        <v>68.760000000000005</v>
      </c>
      <c r="AC11" s="195">
        <v>68.760000000000005</v>
      </c>
      <c r="AD11" s="195">
        <v>68.760000000000005</v>
      </c>
      <c r="AE11" s="195">
        <v>99.89</v>
      </c>
      <c r="AF11" s="195">
        <v>99.89</v>
      </c>
      <c r="AG11" s="195">
        <v>99.89</v>
      </c>
      <c r="AH11" s="195">
        <v>99.89</v>
      </c>
      <c r="AI11" s="195">
        <v>99.89</v>
      </c>
      <c r="AJ11" s="195">
        <v>99.89</v>
      </c>
      <c r="AK11" s="195">
        <v>99.89</v>
      </c>
      <c r="AL11" s="195">
        <v>99.89</v>
      </c>
      <c r="AM11" s="195">
        <v>99.89</v>
      </c>
      <c r="AN11" s="195">
        <v>99.89</v>
      </c>
      <c r="AO11" s="195">
        <v>99.89</v>
      </c>
      <c r="AP11" s="154">
        <f>SUM(E11:AN11)</f>
        <v>3409.2600000000007</v>
      </c>
      <c r="AQ11" s="9"/>
      <c r="AT11" s="9" t="s">
        <v>5</v>
      </c>
      <c r="AU11" s="172"/>
    </row>
    <row r="12" spans="1:47" s="13" customFormat="1" ht="18" customHeight="1" x14ac:dyDescent="0.2">
      <c r="A12" s="158"/>
      <c r="B12" s="197"/>
      <c r="C12" s="198"/>
      <c r="D12" s="199"/>
      <c r="E12" s="200">
        <v>1</v>
      </c>
      <c r="F12" s="200"/>
      <c r="G12" s="200">
        <v>1</v>
      </c>
      <c r="H12" s="200">
        <v>1</v>
      </c>
      <c r="I12" s="200"/>
      <c r="J12" s="200">
        <v>1</v>
      </c>
      <c r="K12" s="200">
        <v>1</v>
      </c>
      <c r="L12" s="200">
        <v>1</v>
      </c>
      <c r="M12" s="200">
        <v>1</v>
      </c>
      <c r="N12" s="200">
        <v>1</v>
      </c>
      <c r="O12" s="200">
        <v>1</v>
      </c>
      <c r="P12" s="200"/>
      <c r="Q12" s="200"/>
      <c r="R12" s="200"/>
      <c r="S12" s="200">
        <v>1</v>
      </c>
      <c r="T12" s="200">
        <v>1</v>
      </c>
      <c r="U12" s="200"/>
      <c r="V12" s="200">
        <v>1</v>
      </c>
      <c r="W12" s="200"/>
      <c r="X12" s="200"/>
      <c r="Y12" s="200"/>
      <c r="Z12" s="200"/>
      <c r="AA12" s="200"/>
      <c r="AB12" s="200"/>
      <c r="AC12" s="200"/>
      <c r="AD12" s="200"/>
      <c r="AE12" s="200"/>
      <c r="AF12" s="200">
        <v>1</v>
      </c>
      <c r="AG12" s="200">
        <v>1</v>
      </c>
      <c r="AH12" s="200">
        <v>1</v>
      </c>
      <c r="AI12" s="200">
        <v>1</v>
      </c>
      <c r="AJ12" s="200"/>
      <c r="AK12" s="200">
        <v>1</v>
      </c>
      <c r="AL12" s="200">
        <v>1</v>
      </c>
      <c r="AM12" s="200">
        <v>1</v>
      </c>
      <c r="AN12" s="200">
        <v>1</v>
      </c>
      <c r="AO12" s="200">
        <v>1</v>
      </c>
      <c r="AP12" s="150">
        <f t="shared" ref="AP12:AP29" si="7">AR12</f>
        <v>1798.0200000000007</v>
      </c>
      <c r="AQ12" s="12">
        <f t="shared" ref="AQ12:AQ14" si="8">SUM(E12:AO12)</f>
        <v>21</v>
      </c>
      <c r="AR12" s="180">
        <f>$E$11*E12+$F$11*F12+$G$11*G12+$H$11*H12+$I$11*I12+$J$11*J12+$L$11*L12+$M$11*M12+$N$11*N12+$O$11*O12+$P$11*P12+$Q$11*Q12+$S$11*S12+$T$11*T12+$U$11*U12+$V$11*V12+$W$11*W12+$X$11*X12+$Y$11*Y12+$Z$11*Z12+$AA$11*AA12+$AB$11*AB12+$AC$11*AC12+$AD$11*AD12+$AF$11*AF12+$AG$11*AG12+$AH$11*AH12+$AI$11*AI12+$AJ$11*AJ12+$AK$11*AK12+$AM$11*AM12+$AN$11*AO12</f>
        <v>1798.0200000000007</v>
      </c>
      <c r="AS12" s="179"/>
      <c r="AT12" s="14"/>
      <c r="AU12" s="176"/>
    </row>
    <row r="13" spans="1:47" s="13" customFormat="1" ht="18" customHeight="1" outlineLevel="1" x14ac:dyDescent="0.2">
      <c r="A13" s="158"/>
      <c r="B13" s="197"/>
      <c r="C13" s="198"/>
      <c r="D13" s="199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189"/>
      <c r="AH13" s="189"/>
      <c r="AI13" s="189"/>
      <c r="AJ13" s="189"/>
      <c r="AK13" s="189"/>
      <c r="AL13" s="189"/>
      <c r="AM13" s="189"/>
      <c r="AN13" s="189"/>
      <c r="AO13" s="189"/>
      <c r="AP13" s="150">
        <f t="shared" si="7"/>
        <v>0</v>
      </c>
      <c r="AQ13" s="12">
        <f>SUM(E13:AO13)</f>
        <v>0</v>
      </c>
      <c r="AR13" s="180">
        <f>$E$11*E13+$F$11*F13+$G$11*G13+$H$11*H13+$I$11*I13+$J$11*J13+$L$11*L13+$M$11*M13+$N$11*N13+$O$11*O13+$P$11*P13+$Q$11*Q13+$S$11*S13+$T$11*T13+$U$11*U13+$V$11*V13+$W$11*W13+$X$11*X13+$Y$11*Y13+$Z$11*Z13+$AA$11*AA13+$AB$11*AB13+$AC$11*AC13+$AD$11*AD13+$AF$11*AF13+$AG$11*AG13+$AH$11*AH13+$AI$11*AI13+$AJ$11*AJ13+$AK$11*AK13+$AM$11*AM13+$AN$11*AO13</f>
        <v>0</v>
      </c>
      <c r="AS13" s="179"/>
      <c r="AT13" s="14"/>
      <c r="AU13" s="176"/>
    </row>
    <row r="14" spans="1:47" s="13" customFormat="1" ht="18" customHeight="1" outlineLevel="1" x14ac:dyDescent="0.2">
      <c r="A14" s="158"/>
      <c r="B14" s="197"/>
      <c r="C14" s="198"/>
      <c r="D14" s="199"/>
      <c r="E14" s="200">
        <v>1</v>
      </c>
      <c r="F14" s="200">
        <v>1</v>
      </c>
      <c r="G14" s="200">
        <v>1</v>
      </c>
      <c r="H14" s="200">
        <v>1</v>
      </c>
      <c r="I14" s="200"/>
      <c r="J14" s="200">
        <v>1</v>
      </c>
      <c r="K14" s="200">
        <v>1</v>
      </c>
      <c r="L14" s="200">
        <v>1</v>
      </c>
      <c r="M14" s="200">
        <v>1</v>
      </c>
      <c r="N14" s="200">
        <v>1</v>
      </c>
      <c r="O14" s="200">
        <v>1</v>
      </c>
      <c r="P14" s="200"/>
      <c r="Q14" s="200">
        <v>1</v>
      </c>
      <c r="R14" s="200">
        <v>1</v>
      </c>
      <c r="S14" s="200">
        <v>1</v>
      </c>
      <c r="T14" s="200">
        <v>1</v>
      </c>
      <c r="U14" s="200">
        <v>1</v>
      </c>
      <c r="V14" s="200">
        <v>1</v>
      </c>
      <c r="W14" s="200"/>
      <c r="X14" s="200">
        <v>1</v>
      </c>
      <c r="Y14" s="200"/>
      <c r="Z14" s="200"/>
      <c r="AA14" s="200"/>
      <c r="AB14" s="200"/>
      <c r="AC14" s="200"/>
      <c r="AD14" s="200"/>
      <c r="AE14" s="200">
        <v>1</v>
      </c>
      <c r="AF14" s="200">
        <v>1</v>
      </c>
      <c r="AG14" s="189">
        <v>1</v>
      </c>
      <c r="AH14" s="189">
        <v>1</v>
      </c>
      <c r="AI14" s="189">
        <v>1</v>
      </c>
      <c r="AJ14" s="189"/>
      <c r="AK14" s="189">
        <v>1</v>
      </c>
      <c r="AL14" s="189">
        <v>1</v>
      </c>
      <c r="AM14" s="189">
        <v>1</v>
      </c>
      <c r="AN14" s="189">
        <v>1</v>
      </c>
      <c r="AO14" s="189">
        <v>1</v>
      </c>
      <c r="AP14" s="150">
        <f t="shared" si="7"/>
        <v>2197.5800000000008</v>
      </c>
      <c r="AQ14" s="12">
        <f t="shared" si="8"/>
        <v>27</v>
      </c>
      <c r="AR14" s="180">
        <f>$E$11*E14+$F$11*F14+$G$11*G14+$H$11*H14+$I$11*I14+$J$11*J14+$L$11*L14+$M$11*M14+$N$11*N14+$O$11*O14+$P$11*P14+$Q$11*Q14+$S$11*S14+$T$11*T14+$U$11*U14+$V$11*V14+$W$11*W14+$X$11*X14+$Y$11*Y14+$Z$11*Z14+$AA$11*AA14+$AB$11*AB14+$AC$11*AC14+$AD$11*AD14+$AF$11*AF14+$AG$11*AG14+$AH$11*AH14+$AI$11*AI14+$AJ$11*AJ14+$AK$11*AK14+$AM$11*AM14+$AN$11*AO14</f>
        <v>2197.5800000000008</v>
      </c>
      <c r="AS14" s="179"/>
      <c r="AT14" s="14"/>
      <c r="AU14" s="176"/>
    </row>
    <row r="15" spans="1:47" s="13" customFormat="1" ht="18" customHeight="1" outlineLevel="1" x14ac:dyDescent="0.2">
      <c r="A15" s="158"/>
      <c r="B15" s="197"/>
      <c r="C15" s="198"/>
      <c r="D15" s="199"/>
      <c r="E15" s="200"/>
      <c r="F15" s="200">
        <v>1</v>
      </c>
      <c r="G15" s="200">
        <v>1</v>
      </c>
      <c r="H15" s="200"/>
      <c r="I15" s="200"/>
      <c r="J15" s="200">
        <v>1</v>
      </c>
      <c r="K15" s="200"/>
      <c r="L15" s="200">
        <v>1</v>
      </c>
      <c r="M15" s="200"/>
      <c r="N15" s="200">
        <v>1</v>
      </c>
      <c r="O15" s="200"/>
      <c r="P15" s="200"/>
      <c r="Q15" s="200">
        <v>1</v>
      </c>
      <c r="R15" s="200">
        <v>1</v>
      </c>
      <c r="S15" s="200">
        <v>1</v>
      </c>
      <c r="T15" s="200"/>
      <c r="U15" s="200">
        <v>1</v>
      </c>
      <c r="V15" s="200"/>
      <c r="W15" s="200"/>
      <c r="X15" s="200">
        <v>1</v>
      </c>
      <c r="Y15" s="200"/>
      <c r="Z15" s="200"/>
      <c r="AA15" s="200"/>
      <c r="AB15" s="200"/>
      <c r="AC15" s="200"/>
      <c r="AD15" s="200"/>
      <c r="AE15" s="200">
        <v>1</v>
      </c>
      <c r="AF15" s="200">
        <v>1</v>
      </c>
      <c r="AG15" s="189">
        <v>1</v>
      </c>
      <c r="AH15" s="189">
        <v>1</v>
      </c>
      <c r="AI15" s="189"/>
      <c r="AJ15" s="189"/>
      <c r="AK15" s="189">
        <v>1</v>
      </c>
      <c r="AL15" s="189">
        <v>1</v>
      </c>
      <c r="AM15" s="189">
        <v>1</v>
      </c>
      <c r="AN15" s="189">
        <v>1</v>
      </c>
      <c r="AO15" s="189">
        <v>1</v>
      </c>
      <c r="AP15" s="150">
        <f t="shared" si="7"/>
        <v>1498.3500000000004</v>
      </c>
      <c r="AQ15" s="12">
        <f t="shared" ref="AQ15:AQ29" si="9">SUM(E15:AO15)</f>
        <v>19</v>
      </c>
      <c r="AR15" s="180">
        <f>$E$11*E15+$F$11*F15+$G$11*G15+$H$11*H15+$I$11*I15+$J$11*J15+$L$11*L15+$M$11*M15+$N$11*N15+$O$11*O15+$P$11*P15+$Q$11*Q15+$S$11*S15+$T$11*T15+$U$11*U15+$V$11*V15+$W$11*W15+$X$11*X15+$Y$11*Y15+$Z$11*Z15+$AA$11*AA15+$AB$11*AB15+$AC$11*AC15+$AD$11*AD15+$AF$11*AF15+$AG$11*AG15+$AH$11*AH15+$AI$11*AI15+$AJ$11*AJ15+$AK$11*AK15+$AM$11*AM15+$AN$11*AO15</f>
        <v>1498.3500000000004</v>
      </c>
      <c r="AS15" s="179"/>
      <c r="AT15" s="14"/>
      <c r="AU15" s="176"/>
    </row>
    <row r="16" spans="1:47" s="13" customFormat="1" ht="18" customHeight="1" outlineLevel="1" x14ac:dyDescent="0.2">
      <c r="A16" s="158"/>
      <c r="B16" s="197"/>
      <c r="C16" s="198"/>
      <c r="D16" s="199"/>
      <c r="E16" s="200"/>
      <c r="F16" s="200">
        <v>1</v>
      </c>
      <c r="G16" s="200">
        <v>1</v>
      </c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/>
      <c r="AF16" s="200"/>
      <c r="AG16" s="189"/>
      <c r="AH16" s="189"/>
      <c r="AI16" s="189"/>
      <c r="AJ16" s="189"/>
      <c r="AK16" s="189">
        <v>1</v>
      </c>
      <c r="AL16" s="189">
        <v>1</v>
      </c>
      <c r="AM16" s="189"/>
      <c r="AN16" s="189">
        <v>1</v>
      </c>
      <c r="AO16" s="189">
        <v>1</v>
      </c>
      <c r="AP16" s="150">
        <f t="shared" si="7"/>
        <v>399.56</v>
      </c>
      <c r="AQ16" s="12">
        <f t="shared" si="9"/>
        <v>6</v>
      </c>
      <c r="AR16" s="180">
        <f>$E$11*E16+$F$11*F16+$G$11*G16+$H$11*H16+$I$11*I16+$J$11*J16+$L$11*L16+$M$11*M16+$N$11*N16+$O$11*O16+$P$11*P16+$Q$11*Q16+$S$11*S16+$T$11*T16+$U$11*U16+$V$11*V16+$W$11*W16+$X$11*X16+$Y$11*Y16+$Z$11*Z16+$AA$11*AA16+$AB$11*AB16+$AC$11*AC16+$AD$11*AD16+$AF$11*AF16+$AG$11*AG16+$AH$11*AH16+$AI$11*AI16+$AJ$11*AJ16+$AK$11*AK16+$AM$11*AM16+$AN$11*AO16</f>
        <v>399.56</v>
      </c>
      <c r="AS16" s="179"/>
      <c r="AT16" s="14"/>
      <c r="AU16" s="176"/>
    </row>
    <row r="17" spans="1:47" s="13" customFormat="1" ht="18" customHeight="1" outlineLevel="1" x14ac:dyDescent="0.2">
      <c r="A17" s="158"/>
      <c r="B17" s="197"/>
      <c r="C17" s="198"/>
      <c r="D17" s="199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>
        <v>1</v>
      </c>
      <c r="R17" s="200">
        <v>1</v>
      </c>
      <c r="S17" s="200"/>
      <c r="T17" s="200">
        <v>1</v>
      </c>
      <c r="U17" s="200"/>
      <c r="V17" s="200"/>
      <c r="W17" s="200"/>
      <c r="X17" s="200">
        <v>1</v>
      </c>
      <c r="Y17" s="200">
        <v>1</v>
      </c>
      <c r="Z17" s="200">
        <v>1</v>
      </c>
      <c r="AA17" s="200">
        <v>1</v>
      </c>
      <c r="AB17" s="200">
        <v>1</v>
      </c>
      <c r="AC17" s="200"/>
      <c r="AD17" s="200"/>
      <c r="AE17" s="200">
        <v>1</v>
      </c>
      <c r="AF17" s="200">
        <v>1</v>
      </c>
      <c r="AG17" s="200">
        <v>1</v>
      </c>
      <c r="AH17" s="200">
        <v>1</v>
      </c>
      <c r="AI17" s="200"/>
      <c r="AJ17" s="189"/>
      <c r="AK17" s="189">
        <v>1</v>
      </c>
      <c r="AL17" s="189"/>
      <c r="AM17" s="189"/>
      <c r="AN17" s="189">
        <v>1</v>
      </c>
      <c r="AO17" s="189">
        <v>1</v>
      </c>
      <c r="AP17" s="150" t="e">
        <f t="shared" si="7"/>
        <v>#REF!</v>
      </c>
      <c r="AQ17" s="12">
        <f t="shared" si="9"/>
        <v>15</v>
      </c>
      <c r="AR17" s="180" t="e">
        <f>$E$11*E17+$F$11*F17+$G$11*G17+$H$11*H17+$I$11*I17+$J$11*J17+$L$11*L17+$M$11*M17+$N$11*N17+$O$11*O17+$P$11*P17+$Q$11*#REF!+$S$11*#REF!+$T$11*#REF!+$U$11*#REF!+$V$11*#REF!+$W$11*#REF!+$X$11*#REF!+$Y$11*#REF!+$Z$11*#REF!+$AA$11*#REF!+$AB$11*#REF!+$AC$11*#REF!+$AD$11*#REF!+$AF$11*#REF!+$AG$11*#REF!+$AH$11*#REF!+$AI$11*#REF!+$AJ$11*AJ17+$AK$11*AK17+$AM$11*AM17+$AN$11*AO17</f>
        <v>#REF!</v>
      </c>
      <c r="AS17" s="179"/>
      <c r="AT17" s="14"/>
      <c r="AU17" s="176"/>
    </row>
    <row r="18" spans="1:47" s="13" customFormat="1" ht="18" customHeight="1" outlineLevel="2" x14ac:dyDescent="0.2">
      <c r="A18" s="158"/>
      <c r="B18" s="197"/>
      <c r="C18" s="198"/>
      <c r="D18" s="199"/>
      <c r="E18" s="200">
        <v>1</v>
      </c>
      <c r="F18" s="200">
        <v>1</v>
      </c>
      <c r="G18" s="200">
        <v>1</v>
      </c>
      <c r="H18" s="200">
        <v>1</v>
      </c>
      <c r="I18" s="200"/>
      <c r="J18" s="200">
        <v>1</v>
      </c>
      <c r="K18" s="200">
        <v>1</v>
      </c>
      <c r="L18" s="200">
        <v>1</v>
      </c>
      <c r="M18" s="200">
        <v>1</v>
      </c>
      <c r="N18" s="200">
        <v>1</v>
      </c>
      <c r="O18" s="200">
        <v>1</v>
      </c>
      <c r="P18" s="200"/>
      <c r="Q18" s="200">
        <v>1</v>
      </c>
      <c r="R18" s="200">
        <v>1</v>
      </c>
      <c r="S18" s="200">
        <v>1</v>
      </c>
      <c r="T18" s="200">
        <v>1</v>
      </c>
      <c r="U18" s="200">
        <v>1</v>
      </c>
      <c r="V18" s="200"/>
      <c r="W18" s="200"/>
      <c r="X18" s="200">
        <v>1</v>
      </c>
      <c r="Y18" s="200"/>
      <c r="Z18" s="200"/>
      <c r="AA18" s="200"/>
      <c r="AB18" s="200"/>
      <c r="AC18" s="200"/>
      <c r="AD18" s="200"/>
      <c r="AE18" s="200">
        <v>1</v>
      </c>
      <c r="AF18" s="200">
        <v>1</v>
      </c>
      <c r="AG18" s="189">
        <v>1</v>
      </c>
      <c r="AH18" s="189">
        <v>1</v>
      </c>
      <c r="AI18" s="189">
        <v>1</v>
      </c>
      <c r="AJ18" s="189"/>
      <c r="AK18" s="189">
        <v>1</v>
      </c>
      <c r="AL18" s="189">
        <v>1</v>
      </c>
      <c r="AM18" s="189"/>
      <c r="AN18" s="189">
        <v>1</v>
      </c>
      <c r="AO18" s="189">
        <v>1</v>
      </c>
      <c r="AP18" s="150">
        <f t="shared" si="7"/>
        <v>1997.8000000000009</v>
      </c>
      <c r="AQ18" s="12">
        <f t="shared" si="9"/>
        <v>25</v>
      </c>
      <c r="AR18" s="180">
        <f>$E$11*E18+$F$11*F18+$G$11*G18+$H$11*H18+$I$11*I18+$J$11*J18+$L$11*L18+$M$11*M18+$N$11*N18+$O$11*O18+$P$11*P18+$Q$11*Q18+$S$11*S18+$T$11*T18+$U$11*U18+$V$11*V18+$W$11*W18+$X$11*X18+$Y$11*Y18+$Z$11*Z18+$AA$11*AA18+$AB$11*AB18+$AC$11*AC18+$AD$11*AD18+$AF$11*AF18+$AG$11*AG18+$AH$11*AH18+$AI$11*AI18+$AJ$11*AJ18+$AK$11*AK18+$AM$11*AM18+$AN$11*AO18</f>
        <v>1997.8000000000009</v>
      </c>
      <c r="AS18" s="179"/>
      <c r="AT18" s="14"/>
      <c r="AU18" s="176"/>
    </row>
    <row r="19" spans="1:47" s="13" customFormat="1" ht="18" customHeight="1" outlineLevel="2" x14ac:dyDescent="0.2">
      <c r="A19" s="158"/>
      <c r="B19" s="197"/>
      <c r="C19" s="198"/>
      <c r="D19" s="199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>
        <v>1</v>
      </c>
      <c r="AF19" s="200"/>
      <c r="AG19" s="189"/>
      <c r="AH19" s="189">
        <v>1</v>
      </c>
      <c r="AI19" s="189"/>
      <c r="AJ19" s="189"/>
      <c r="AK19" s="189">
        <v>1</v>
      </c>
      <c r="AL19" s="189">
        <v>1</v>
      </c>
      <c r="AM19" s="189">
        <v>1</v>
      </c>
      <c r="AN19" s="189"/>
      <c r="AO19" s="189"/>
      <c r="AP19" s="150"/>
      <c r="AQ19" s="12"/>
      <c r="AR19" s="180"/>
      <c r="AS19" s="179"/>
      <c r="AT19" s="14"/>
      <c r="AU19" s="176"/>
    </row>
    <row r="20" spans="1:47" s="13" customFormat="1" ht="18" customHeight="1" outlineLevel="2" x14ac:dyDescent="0.2">
      <c r="A20" s="158"/>
      <c r="B20" s="197"/>
      <c r="C20" s="198"/>
      <c r="D20" s="199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189">
        <v>1</v>
      </c>
      <c r="AH20" s="189"/>
      <c r="AI20" s="189">
        <v>1</v>
      </c>
      <c r="AJ20" s="189"/>
      <c r="AK20" s="189"/>
      <c r="AL20" s="189"/>
      <c r="AM20" s="189"/>
      <c r="AN20" s="189"/>
      <c r="AO20" s="189"/>
      <c r="AP20" s="150">
        <f t="shared" si="7"/>
        <v>199.78</v>
      </c>
      <c r="AQ20" s="12">
        <f t="shared" si="9"/>
        <v>2</v>
      </c>
      <c r="AR20" s="180">
        <f t="shared" ref="AR20:AR29" si="10">$E$11*E20+$F$11*F20+$G$11*G20+$H$11*H20+$I$11*I20+$J$11*J20+$L$11*L20+$M$11*M20+$N$11*N20+$O$11*O20+$P$11*P20+$Q$11*Q20+$S$11*S20+$T$11*T20+$U$11*U20+$V$11*V20+$W$11*W20+$X$11*X20+$Y$11*Y20+$Z$11*Z20+$AA$11*AA20+$AB$11*AB20+$AC$11*AC20+$AD$11*AD20+$AF$11*AF20+$AG$11*AG20+$AH$11*AH20+$AI$11*AI20+$AJ$11*AJ20+$AK$11*AK20+$AM$11*AM20+$AN$11*AO20</f>
        <v>199.78</v>
      </c>
      <c r="AS20" s="179"/>
      <c r="AT20" s="14"/>
      <c r="AU20" s="176"/>
    </row>
    <row r="21" spans="1:47" s="13" customFormat="1" ht="18" hidden="1" customHeight="1" outlineLevel="2" x14ac:dyDescent="0.2">
      <c r="A21" s="158"/>
      <c r="B21" s="197"/>
      <c r="C21" s="198"/>
      <c r="D21" s="199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189"/>
      <c r="AH21" s="189"/>
      <c r="AI21" s="189"/>
      <c r="AJ21" s="189"/>
      <c r="AK21" s="189"/>
      <c r="AL21" s="189"/>
      <c r="AM21" s="189"/>
      <c r="AN21" s="189"/>
      <c r="AO21" s="189"/>
      <c r="AP21" s="150">
        <f t="shared" si="7"/>
        <v>0</v>
      </c>
      <c r="AQ21" s="12">
        <f t="shared" si="9"/>
        <v>0</v>
      </c>
      <c r="AR21" s="180">
        <f t="shared" si="10"/>
        <v>0</v>
      </c>
      <c r="AS21" s="179"/>
      <c r="AT21" s="14"/>
      <c r="AU21" s="176"/>
    </row>
    <row r="22" spans="1:47" s="13" customFormat="1" ht="18" hidden="1" customHeight="1" outlineLevel="2" x14ac:dyDescent="0.2">
      <c r="A22" s="158"/>
      <c r="B22" s="197"/>
      <c r="C22" s="198"/>
      <c r="D22" s="199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189"/>
      <c r="AH22" s="189"/>
      <c r="AI22" s="189"/>
      <c r="AJ22" s="189"/>
      <c r="AK22" s="189"/>
      <c r="AL22" s="189"/>
      <c r="AM22" s="189"/>
      <c r="AN22" s="189"/>
      <c r="AO22" s="189"/>
      <c r="AP22" s="150">
        <f t="shared" si="7"/>
        <v>0</v>
      </c>
      <c r="AQ22" s="12">
        <f t="shared" si="9"/>
        <v>0</v>
      </c>
      <c r="AR22" s="180">
        <f t="shared" si="10"/>
        <v>0</v>
      </c>
      <c r="AS22" s="179"/>
      <c r="AT22" s="14"/>
      <c r="AU22" s="176"/>
    </row>
    <row r="23" spans="1:47" s="13" customFormat="1" ht="18" hidden="1" customHeight="1" outlineLevel="2" x14ac:dyDescent="0.2">
      <c r="A23" s="158"/>
      <c r="B23" s="197"/>
      <c r="C23" s="198"/>
      <c r="D23" s="199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189"/>
      <c r="AH23" s="189"/>
      <c r="AI23" s="189"/>
      <c r="AJ23" s="189"/>
      <c r="AK23" s="189"/>
      <c r="AL23" s="189"/>
      <c r="AM23" s="189"/>
      <c r="AN23" s="189"/>
      <c r="AO23" s="189"/>
      <c r="AP23" s="150">
        <f t="shared" si="7"/>
        <v>0</v>
      </c>
      <c r="AQ23" s="12">
        <f t="shared" si="9"/>
        <v>0</v>
      </c>
      <c r="AR23" s="180">
        <f t="shared" si="10"/>
        <v>0</v>
      </c>
      <c r="AS23" s="179"/>
      <c r="AT23" s="14"/>
      <c r="AU23" s="176"/>
    </row>
    <row r="24" spans="1:47" s="13" customFormat="1" ht="18" hidden="1" customHeight="1" outlineLevel="2" x14ac:dyDescent="0.2">
      <c r="A24" s="158"/>
      <c r="B24" s="197"/>
      <c r="C24" s="198"/>
      <c r="D24" s="199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189"/>
      <c r="AH24" s="189"/>
      <c r="AI24" s="189"/>
      <c r="AJ24" s="189"/>
      <c r="AK24" s="189"/>
      <c r="AL24" s="189"/>
      <c r="AM24" s="189"/>
      <c r="AN24" s="189"/>
      <c r="AO24" s="189"/>
      <c r="AP24" s="150">
        <f t="shared" si="7"/>
        <v>0</v>
      </c>
      <c r="AQ24" s="12">
        <f t="shared" si="9"/>
        <v>0</v>
      </c>
      <c r="AR24" s="180">
        <f t="shared" si="10"/>
        <v>0</v>
      </c>
      <c r="AS24" s="179"/>
      <c r="AT24" s="14"/>
      <c r="AU24" s="176"/>
    </row>
    <row r="25" spans="1:47" s="13" customFormat="1" ht="18" hidden="1" customHeight="1" outlineLevel="2" x14ac:dyDescent="0.2">
      <c r="A25" s="158"/>
      <c r="B25" s="197"/>
      <c r="C25" s="198"/>
      <c r="D25" s="199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189"/>
      <c r="AH25" s="189"/>
      <c r="AI25" s="189"/>
      <c r="AJ25" s="189"/>
      <c r="AK25" s="189"/>
      <c r="AL25" s="189"/>
      <c r="AM25" s="189"/>
      <c r="AN25" s="189"/>
      <c r="AO25" s="189"/>
      <c r="AP25" s="150">
        <f t="shared" si="7"/>
        <v>0</v>
      </c>
      <c r="AQ25" s="12">
        <f t="shared" si="9"/>
        <v>0</v>
      </c>
      <c r="AR25" s="180">
        <f t="shared" si="10"/>
        <v>0</v>
      </c>
      <c r="AS25" s="179"/>
      <c r="AT25" s="14"/>
      <c r="AU25" s="176"/>
    </row>
    <row r="26" spans="1:47" s="13" customFormat="1" ht="18" hidden="1" customHeight="1" outlineLevel="2" x14ac:dyDescent="0.2">
      <c r="A26" s="158"/>
      <c r="B26" s="197"/>
      <c r="C26" s="198"/>
      <c r="D26" s="199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189"/>
      <c r="AH26" s="189"/>
      <c r="AI26" s="189"/>
      <c r="AJ26" s="189"/>
      <c r="AK26" s="189"/>
      <c r="AL26" s="189"/>
      <c r="AM26" s="189"/>
      <c r="AN26" s="189"/>
      <c r="AO26" s="189"/>
      <c r="AP26" s="150">
        <f t="shared" si="7"/>
        <v>0</v>
      </c>
      <c r="AQ26" s="12">
        <f t="shared" si="9"/>
        <v>0</v>
      </c>
      <c r="AR26" s="180">
        <f t="shared" si="10"/>
        <v>0</v>
      </c>
      <c r="AS26" s="179"/>
      <c r="AT26" s="14"/>
      <c r="AU26" s="176"/>
    </row>
    <row r="27" spans="1:47" s="13" customFormat="1" ht="18" hidden="1" customHeight="1" outlineLevel="2" x14ac:dyDescent="0.2">
      <c r="A27" s="158"/>
      <c r="B27" s="197"/>
      <c r="C27" s="198"/>
      <c r="D27" s="199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189"/>
      <c r="AH27" s="189"/>
      <c r="AI27" s="189"/>
      <c r="AJ27" s="189"/>
      <c r="AK27" s="189"/>
      <c r="AL27" s="189"/>
      <c r="AM27" s="189"/>
      <c r="AN27" s="189"/>
      <c r="AO27" s="189"/>
      <c r="AP27" s="150">
        <f t="shared" si="7"/>
        <v>0</v>
      </c>
      <c r="AQ27" s="12">
        <f t="shared" si="9"/>
        <v>0</v>
      </c>
      <c r="AR27" s="180">
        <f t="shared" si="10"/>
        <v>0</v>
      </c>
      <c r="AS27" s="179"/>
      <c r="AT27" s="14"/>
      <c r="AU27" s="176"/>
    </row>
    <row r="28" spans="1:47" s="13" customFormat="1" ht="18" hidden="1" customHeight="1" outlineLevel="2" x14ac:dyDescent="0.2">
      <c r="A28" s="158"/>
      <c r="B28" s="197"/>
      <c r="C28" s="198"/>
      <c r="D28" s="199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189"/>
      <c r="AH28" s="189"/>
      <c r="AI28" s="189"/>
      <c r="AJ28" s="189"/>
      <c r="AK28" s="189"/>
      <c r="AL28" s="189"/>
      <c r="AM28" s="189"/>
      <c r="AN28" s="189"/>
      <c r="AO28" s="189"/>
      <c r="AP28" s="150">
        <f t="shared" si="7"/>
        <v>0</v>
      </c>
      <c r="AQ28" s="12">
        <f t="shared" si="9"/>
        <v>0</v>
      </c>
      <c r="AR28" s="180">
        <f t="shared" si="10"/>
        <v>0</v>
      </c>
      <c r="AS28" s="179"/>
      <c r="AT28" s="14"/>
      <c r="AU28" s="176"/>
    </row>
    <row r="29" spans="1:47" s="13" customFormat="1" ht="18" hidden="1" customHeight="1" outlineLevel="2" x14ac:dyDescent="0.2">
      <c r="A29" s="158"/>
      <c r="B29" s="197"/>
      <c r="C29" s="198"/>
      <c r="D29" s="199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189"/>
      <c r="AH29" s="189"/>
      <c r="AI29" s="189"/>
      <c r="AJ29" s="189"/>
      <c r="AK29" s="189"/>
      <c r="AL29" s="189"/>
      <c r="AM29" s="189"/>
      <c r="AN29" s="189"/>
      <c r="AO29" s="189"/>
      <c r="AP29" s="150">
        <f t="shared" si="7"/>
        <v>0</v>
      </c>
      <c r="AQ29" s="12">
        <f t="shared" si="9"/>
        <v>0</v>
      </c>
      <c r="AR29" s="180">
        <f t="shared" si="10"/>
        <v>0</v>
      </c>
      <c r="AS29" s="179"/>
      <c r="AT29" s="14"/>
      <c r="AU29" s="176"/>
    </row>
    <row r="30" spans="1:47" s="13" customFormat="1" ht="18" customHeight="1" outlineLevel="2" x14ac:dyDescent="0.2">
      <c r="A30" s="158"/>
      <c r="B30" s="197" t="s">
        <v>151</v>
      </c>
      <c r="C30" s="198" t="s">
        <v>152</v>
      </c>
      <c r="D30" s="199"/>
      <c r="E30" s="200">
        <v>1</v>
      </c>
      <c r="F30" s="200">
        <v>1</v>
      </c>
      <c r="G30" s="200">
        <v>1</v>
      </c>
      <c r="H30" s="200"/>
      <c r="I30" s="200"/>
      <c r="J30" s="200">
        <v>1</v>
      </c>
      <c r="K30" s="200">
        <v>1</v>
      </c>
      <c r="L30" s="200">
        <v>1</v>
      </c>
      <c r="M30" s="200">
        <v>1</v>
      </c>
      <c r="N30" s="200">
        <v>1</v>
      </c>
      <c r="O30" s="200"/>
      <c r="P30" s="200"/>
      <c r="Q30" s="200">
        <v>1</v>
      </c>
      <c r="R30" s="200">
        <v>1</v>
      </c>
      <c r="S30" s="200"/>
      <c r="T30" s="200"/>
      <c r="U30" s="200"/>
      <c r="V30" s="200"/>
      <c r="W30" s="200"/>
      <c r="X30" s="200">
        <v>1</v>
      </c>
      <c r="Y30" s="200"/>
      <c r="Z30" s="200"/>
      <c r="AA30" s="200"/>
      <c r="AB30" s="200"/>
      <c r="AC30" s="200"/>
      <c r="AD30" s="200"/>
      <c r="AE30" s="200">
        <v>1</v>
      </c>
      <c r="AF30" s="200"/>
      <c r="AG30" s="189">
        <v>1</v>
      </c>
      <c r="AH30" s="189">
        <v>1</v>
      </c>
      <c r="AI30" s="189"/>
      <c r="AJ30" s="189"/>
      <c r="AK30" s="189"/>
      <c r="AL30" s="189">
        <v>1</v>
      </c>
      <c r="AM30" s="189">
        <v>1</v>
      </c>
      <c r="AN30" s="189">
        <v>1</v>
      </c>
      <c r="AO30" s="189">
        <v>1</v>
      </c>
      <c r="AP30" s="150"/>
      <c r="AQ30" s="12"/>
      <c r="AR30" s="180"/>
      <c r="AS30" s="179"/>
      <c r="AT30" s="14"/>
      <c r="AU30" s="176"/>
    </row>
    <row r="31" spans="1:47" s="13" customFormat="1" ht="18" customHeight="1" outlineLevel="2" x14ac:dyDescent="0.2">
      <c r="A31" s="158"/>
      <c r="B31" s="197" t="s">
        <v>153</v>
      </c>
      <c r="C31" s="198" t="s">
        <v>154</v>
      </c>
      <c r="D31" s="199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189"/>
      <c r="AH31" s="189"/>
      <c r="AI31" s="189"/>
      <c r="AJ31" s="189"/>
      <c r="AK31" s="189"/>
      <c r="AL31" s="189">
        <v>1</v>
      </c>
      <c r="AM31" s="189"/>
      <c r="AN31" s="189"/>
      <c r="AO31" s="189">
        <v>1</v>
      </c>
      <c r="AP31" s="150"/>
      <c r="AQ31" s="12"/>
      <c r="AR31" s="180"/>
      <c r="AS31" s="179"/>
      <c r="AT31" s="14"/>
      <c r="AU31" s="176"/>
    </row>
    <row r="32" spans="1:47" s="13" customFormat="1" ht="18" customHeight="1" outlineLevel="2" x14ac:dyDescent="0.2">
      <c r="A32" s="158"/>
      <c r="B32" s="197" t="s">
        <v>155</v>
      </c>
      <c r="C32" s="198" t="s">
        <v>116</v>
      </c>
      <c r="D32" s="199"/>
      <c r="E32" s="200"/>
      <c r="F32" s="200">
        <v>1</v>
      </c>
      <c r="G32" s="200">
        <v>1</v>
      </c>
      <c r="H32" s="200"/>
      <c r="I32" s="200"/>
      <c r="J32" s="200"/>
      <c r="K32" s="200">
        <v>1</v>
      </c>
      <c r="L32" s="200">
        <v>1</v>
      </c>
      <c r="M32" s="200"/>
      <c r="N32" s="200">
        <v>1</v>
      </c>
      <c r="O32" s="200"/>
      <c r="P32" s="200"/>
      <c r="Q32" s="200">
        <v>1</v>
      </c>
      <c r="R32" s="200">
        <v>1</v>
      </c>
      <c r="S32" s="200"/>
      <c r="T32" s="200">
        <v>1</v>
      </c>
      <c r="U32" s="200">
        <v>1</v>
      </c>
      <c r="V32" s="200"/>
      <c r="W32" s="200"/>
      <c r="X32" s="200"/>
      <c r="Y32" s="200"/>
      <c r="Z32" s="200"/>
      <c r="AA32" s="200"/>
      <c r="AB32" s="200"/>
      <c r="AC32" s="200"/>
      <c r="AD32" s="200"/>
      <c r="AE32" s="200">
        <v>1</v>
      </c>
      <c r="AF32" s="200">
        <v>1</v>
      </c>
      <c r="AG32" s="189">
        <v>1</v>
      </c>
      <c r="AH32" s="189">
        <v>1</v>
      </c>
      <c r="AI32" s="189"/>
      <c r="AJ32" s="189"/>
      <c r="AK32" s="189">
        <v>1</v>
      </c>
      <c r="AL32" s="189"/>
      <c r="AM32" s="189"/>
      <c r="AN32" s="189">
        <v>1</v>
      </c>
      <c r="AO32" s="189">
        <v>1</v>
      </c>
      <c r="AP32" s="150"/>
      <c r="AQ32" s="12"/>
      <c r="AR32" s="180"/>
      <c r="AS32" s="179"/>
      <c r="AT32" s="14"/>
      <c r="AU32" s="176"/>
    </row>
    <row r="33" spans="1:47" s="46" customFormat="1" ht="17.25" customHeight="1" x14ac:dyDescent="0.2">
      <c r="A33" s="427" t="s">
        <v>68</v>
      </c>
      <c r="B33" s="427"/>
      <c r="C33" s="201"/>
      <c r="D33" s="202"/>
      <c r="E33" s="226">
        <f>SUM(E12:E14)</f>
        <v>2</v>
      </c>
      <c r="F33" s="226">
        <f>SUM(F12:F14)</f>
        <v>1</v>
      </c>
      <c r="G33" s="226">
        <f>SUM(G12:G14)</f>
        <v>2</v>
      </c>
      <c r="H33" s="202">
        <f>SUM(H12:H14)</f>
        <v>2</v>
      </c>
      <c r="I33" s="202">
        <f>SUM(I12:I29)</f>
        <v>0</v>
      </c>
      <c r="J33" s="202">
        <f>SUM(J12:J14)</f>
        <v>2</v>
      </c>
      <c r="K33" s="202"/>
      <c r="L33" s="202">
        <f t="shared" ref="L33:Q33" si="11">SUM(L12:L29)</f>
        <v>4</v>
      </c>
      <c r="M33" s="202">
        <f t="shared" si="11"/>
        <v>3</v>
      </c>
      <c r="N33" s="202">
        <f t="shared" si="11"/>
        <v>4</v>
      </c>
      <c r="O33" s="226">
        <f t="shared" si="11"/>
        <v>3</v>
      </c>
      <c r="P33" s="202">
        <f t="shared" si="11"/>
        <v>0</v>
      </c>
      <c r="Q33" s="202">
        <f t="shared" si="11"/>
        <v>4</v>
      </c>
      <c r="R33" s="202"/>
      <c r="S33" s="226">
        <f t="shared" ref="S33:X33" si="12">SUM(S12:S29)</f>
        <v>4</v>
      </c>
      <c r="T33" s="226">
        <f t="shared" si="12"/>
        <v>4</v>
      </c>
      <c r="U33" s="226">
        <f t="shared" si="12"/>
        <v>3</v>
      </c>
      <c r="V33" s="226">
        <f t="shared" si="12"/>
        <v>2</v>
      </c>
      <c r="W33" s="226">
        <f t="shared" si="12"/>
        <v>0</v>
      </c>
      <c r="X33" s="202">
        <f t="shared" si="12"/>
        <v>4</v>
      </c>
      <c r="Y33" s="202">
        <f t="shared" ref="Y33:AD33" si="13">SUM(Y12:Y12)</f>
        <v>0</v>
      </c>
      <c r="Z33" s="202">
        <f t="shared" si="13"/>
        <v>0</v>
      </c>
      <c r="AA33" s="202">
        <f t="shared" si="13"/>
        <v>0</v>
      </c>
      <c r="AB33" s="202">
        <f t="shared" si="13"/>
        <v>0</v>
      </c>
      <c r="AC33" s="202">
        <f t="shared" si="13"/>
        <v>0</v>
      </c>
      <c r="AD33" s="202">
        <f t="shared" si="13"/>
        <v>0</v>
      </c>
      <c r="AE33" s="202"/>
      <c r="AF33" s="202">
        <f t="shared" ref="AF33:AK33" si="14">SUM(AF12:AF29)</f>
        <v>5</v>
      </c>
      <c r="AG33" s="202">
        <f t="shared" si="14"/>
        <v>6</v>
      </c>
      <c r="AH33" s="202">
        <f t="shared" si="14"/>
        <v>6</v>
      </c>
      <c r="AI33" s="202">
        <f t="shared" si="14"/>
        <v>4</v>
      </c>
      <c r="AJ33" s="202">
        <f t="shared" si="14"/>
        <v>0</v>
      </c>
      <c r="AK33" s="202">
        <f t="shared" si="14"/>
        <v>7</v>
      </c>
      <c r="AL33" s="202"/>
      <c r="AM33" s="202">
        <f>SUM(AM12:AM29)</f>
        <v>4</v>
      </c>
      <c r="AN33" s="202"/>
      <c r="AO33" s="202">
        <f>SUM(AO12:AO28)</f>
        <v>6</v>
      </c>
      <c r="AP33" s="153">
        <f>SUM(E33:AO33)</f>
        <v>82</v>
      </c>
      <c r="AQ33" s="12">
        <f>SUM(E33:AO33)</f>
        <v>82</v>
      </c>
      <c r="AR33" s="180">
        <f>$E$11*E33+$F$11*F33+$G$11*G33+$H$11*H33+$I$11*I33+$J$11*J33+$L$11*L33+$M$11*M33+$N$11*N33+$O$11*O33+$P$11*P33+$Q$11*Q33+$S$11*S33+$T$11*T33+$U$11*U33+$V$11*V33+$W$11*W33+$X$11*X33+$Y$11*Y33+$Z$11*Z33+$AA$11*AA33+$AB$11*AB33+$AC$11*AC33+$AD$11*AD33+$AF$11*AF33+$AG$11*AG33+$AH$11*AH33+$AI$11*AI33+$AJ$11*AJ33+$AK$11*AK33+$AM$11*AM33+$AN$11*AO33</f>
        <v>8190.9800000000005</v>
      </c>
      <c r="AS33" s="143"/>
      <c r="AU33" s="173"/>
    </row>
    <row r="34" spans="1:47" s="46" customFormat="1" ht="60" customHeight="1" x14ac:dyDescent="0.2">
      <c r="A34" s="427" t="s">
        <v>69</v>
      </c>
      <c r="B34" s="427"/>
      <c r="C34" s="203"/>
      <c r="D34" s="204"/>
      <c r="E34" s="205">
        <f t="shared" ref="E34:J34" si="15">E33*E11</f>
        <v>199.78</v>
      </c>
      <c r="F34" s="205">
        <f t="shared" si="15"/>
        <v>99.89</v>
      </c>
      <c r="G34" s="205">
        <f t="shared" si="15"/>
        <v>199.78</v>
      </c>
      <c r="H34" s="205">
        <f t="shared" si="15"/>
        <v>199.78</v>
      </c>
      <c r="I34" s="205">
        <f t="shared" si="15"/>
        <v>0</v>
      </c>
      <c r="J34" s="205">
        <f t="shared" si="15"/>
        <v>199.78</v>
      </c>
      <c r="K34" s="205"/>
      <c r="L34" s="205">
        <f t="shared" ref="L34:Q34" si="16">L33*L11</f>
        <v>399.56</v>
      </c>
      <c r="M34" s="205">
        <f t="shared" si="16"/>
        <v>299.67</v>
      </c>
      <c r="N34" s="205">
        <f t="shared" si="16"/>
        <v>399.56</v>
      </c>
      <c r="O34" s="205">
        <f t="shared" si="16"/>
        <v>299.67</v>
      </c>
      <c r="P34" s="205">
        <f t="shared" si="16"/>
        <v>0</v>
      </c>
      <c r="Q34" s="205">
        <f t="shared" si="16"/>
        <v>399.56</v>
      </c>
      <c r="R34" s="205"/>
      <c r="S34" s="205">
        <f t="shared" ref="S34:AD34" si="17">S33*S11</f>
        <v>399.56</v>
      </c>
      <c r="T34" s="205">
        <f t="shared" si="17"/>
        <v>399.56</v>
      </c>
      <c r="U34" s="205">
        <f t="shared" si="17"/>
        <v>299.67</v>
      </c>
      <c r="V34" s="205">
        <f t="shared" si="17"/>
        <v>199.78</v>
      </c>
      <c r="W34" s="205">
        <f t="shared" si="17"/>
        <v>0</v>
      </c>
      <c r="X34" s="205">
        <f t="shared" si="17"/>
        <v>399.56</v>
      </c>
      <c r="Y34" s="205">
        <f t="shared" si="17"/>
        <v>0</v>
      </c>
      <c r="Z34" s="205">
        <f t="shared" si="17"/>
        <v>0</v>
      </c>
      <c r="AA34" s="205">
        <f t="shared" si="17"/>
        <v>0</v>
      </c>
      <c r="AB34" s="205">
        <f t="shared" si="17"/>
        <v>0</v>
      </c>
      <c r="AC34" s="205">
        <f t="shared" si="17"/>
        <v>0</v>
      </c>
      <c r="AD34" s="205">
        <f t="shared" si="17"/>
        <v>0</v>
      </c>
      <c r="AE34" s="205"/>
      <c r="AF34" s="205">
        <f t="shared" ref="AF34:AK34" si="18">AF33*AF11</f>
        <v>499.45</v>
      </c>
      <c r="AG34" s="205">
        <f t="shared" si="18"/>
        <v>599.34</v>
      </c>
      <c r="AH34" s="205">
        <f t="shared" si="18"/>
        <v>599.34</v>
      </c>
      <c r="AI34" s="205">
        <f t="shared" si="18"/>
        <v>399.56</v>
      </c>
      <c r="AJ34" s="205">
        <f t="shared" si="18"/>
        <v>0</v>
      </c>
      <c r="AK34" s="205">
        <f t="shared" si="18"/>
        <v>699.23</v>
      </c>
      <c r="AL34" s="205"/>
      <c r="AM34" s="205">
        <f>AM33*AM11</f>
        <v>399.56</v>
      </c>
      <c r="AN34" s="205"/>
      <c r="AO34" s="205">
        <f>AO33*AN11</f>
        <v>599.34</v>
      </c>
      <c r="AP34" s="154">
        <f>SUM(E34:AO34)</f>
        <v>8190.9800000000005</v>
      </c>
      <c r="AQ34" s="146"/>
      <c r="AS34" s="143"/>
      <c r="AU34" s="173"/>
    </row>
    <row r="35" spans="1:47" ht="18" hidden="1" customHeight="1" outlineLevel="1" x14ac:dyDescent="0.2">
      <c r="D35" s="157"/>
      <c r="E35" s="152"/>
      <c r="AR35" s="21"/>
    </row>
    <row r="36" spans="1:47" ht="24.95" hidden="1" customHeight="1" outlineLevel="1" x14ac:dyDescent="0.2">
      <c r="A36" s="243"/>
      <c r="B36" s="23"/>
      <c r="C36" s="23"/>
      <c r="D36" s="133"/>
      <c r="F36" s="23"/>
      <c r="G36" s="23"/>
      <c r="H36" s="23"/>
      <c r="I36" s="23"/>
      <c r="J36" s="23"/>
      <c r="K36" s="23"/>
      <c r="L36" s="23" t="s">
        <v>81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R36" s="24"/>
    </row>
    <row r="37" spans="1:47" ht="20.25" hidden="1" customHeight="1" outlineLevel="1" x14ac:dyDescent="0.2">
      <c r="D37" s="133"/>
      <c r="E37" s="23"/>
    </row>
    <row r="38" spans="1:47" ht="43.5" hidden="1" customHeight="1" outlineLevel="1" x14ac:dyDescent="0.2">
      <c r="D38" s="31" t="s">
        <v>66</v>
      </c>
      <c r="F38" s="155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5"/>
      <c r="AG38" s="155"/>
      <c r="AR38" s="243" t="s">
        <v>58</v>
      </c>
    </row>
    <row r="39" spans="1:47" hidden="1" outlineLevel="1" x14ac:dyDescent="0.2">
      <c r="D39" s="29" t="s">
        <v>59</v>
      </c>
      <c r="E39" s="155"/>
      <c r="F39" s="156">
        <v>41</v>
      </c>
      <c r="G39" s="156">
        <v>40</v>
      </c>
      <c r="H39" s="156">
        <v>47</v>
      </c>
      <c r="I39" s="156">
        <v>33</v>
      </c>
      <c r="J39" s="156">
        <v>28</v>
      </c>
      <c r="K39" s="156"/>
      <c r="L39" s="156">
        <v>48</v>
      </c>
      <c r="M39" s="156"/>
      <c r="N39" s="156">
        <v>48</v>
      </c>
      <c r="O39" s="156">
        <v>49</v>
      </c>
      <c r="P39" s="156">
        <v>48</v>
      </c>
      <c r="Q39" s="156">
        <v>41</v>
      </c>
      <c r="R39" s="156"/>
      <c r="S39" s="156">
        <v>43</v>
      </c>
      <c r="T39" s="156">
        <v>48</v>
      </c>
      <c r="U39" s="156">
        <v>45</v>
      </c>
      <c r="V39" s="156">
        <v>42</v>
      </c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6"/>
      <c r="AI39" s="16"/>
      <c r="AJ39" s="16"/>
      <c r="AK39" s="16"/>
      <c r="AL39" s="16"/>
      <c r="AM39" s="16"/>
      <c r="AN39" s="16"/>
      <c r="AO39" s="16"/>
      <c r="AP39" s="147">
        <f>SUM(E39:AI39)</f>
        <v>601</v>
      </c>
    </row>
    <row r="40" spans="1:47" hidden="1" outlineLevel="1" x14ac:dyDescent="0.2">
      <c r="E40" s="156">
        <v>38</v>
      </c>
    </row>
    <row r="41" spans="1:47" hidden="1" outlineLevel="1" x14ac:dyDescent="0.2"/>
    <row r="42" spans="1:47" hidden="1" outlineLevel="1" x14ac:dyDescent="0.2"/>
    <row r="43" spans="1:47" hidden="1" outlineLevel="1" x14ac:dyDescent="0.2"/>
    <row r="44" spans="1:47" hidden="1" outlineLevel="1" x14ac:dyDescent="0.2">
      <c r="D44" s="29" t="s">
        <v>73</v>
      </c>
      <c r="F44" s="162">
        <f>SUM(F12:F12)</f>
        <v>0</v>
      </c>
      <c r="G44" s="162">
        <f>SUM(G12:G12)</f>
        <v>1</v>
      </c>
      <c r="H44" s="162">
        <f>SUM(H12:H12)</f>
        <v>1</v>
      </c>
      <c r="I44" s="162">
        <f>SUM(I12:I12)</f>
        <v>0</v>
      </c>
      <c r="J44" s="162">
        <f>SUM(J12:J12)</f>
        <v>1</v>
      </c>
      <c r="K44" s="162"/>
      <c r="L44" s="162">
        <f>SUM(L12:L12)</f>
        <v>1</v>
      </c>
      <c r="M44" s="162"/>
      <c r="N44" s="162">
        <f>SUM(N12:N12)</f>
        <v>1</v>
      </c>
      <c r="O44" s="162">
        <f>SUM(O12:O12)</f>
        <v>1</v>
      </c>
      <c r="P44" s="162">
        <f>SUM(P12:P12)</f>
        <v>0</v>
      </c>
      <c r="Q44" s="162">
        <f>SUM(Q12:Q12)</f>
        <v>0</v>
      </c>
      <c r="R44" s="162"/>
      <c r="S44" s="162">
        <f t="shared" ref="S44:AD44" si="19">SUM(S12:S12)</f>
        <v>1</v>
      </c>
      <c r="T44" s="162">
        <f t="shared" si="19"/>
        <v>1</v>
      </c>
      <c r="U44" s="162">
        <f t="shared" si="19"/>
        <v>0</v>
      </c>
      <c r="V44" s="162">
        <f t="shared" si="19"/>
        <v>1</v>
      </c>
      <c r="W44" s="162">
        <f t="shared" si="19"/>
        <v>0</v>
      </c>
      <c r="X44" s="162">
        <f t="shared" si="19"/>
        <v>0</v>
      </c>
      <c r="Y44" s="162">
        <f t="shared" si="19"/>
        <v>0</v>
      </c>
      <c r="Z44" s="162">
        <f t="shared" si="19"/>
        <v>0</v>
      </c>
      <c r="AA44" s="162">
        <f t="shared" si="19"/>
        <v>0</v>
      </c>
      <c r="AB44" s="162">
        <f t="shared" si="19"/>
        <v>0</v>
      </c>
      <c r="AC44" s="162">
        <f t="shared" si="19"/>
        <v>0</v>
      </c>
      <c r="AD44" s="162">
        <f t="shared" si="19"/>
        <v>0</v>
      </c>
      <c r="AE44" s="162"/>
      <c r="AF44" s="162">
        <f>SUM(AF12:AF12)</f>
        <v>1</v>
      </c>
      <c r="AG44" s="162">
        <f>SUM(AG12:AG12)</f>
        <v>1</v>
      </c>
      <c r="AH44" s="162">
        <f>SUM(AH12:AH12)</f>
        <v>1</v>
      </c>
      <c r="AI44" s="162">
        <f>SUM(AI12:AI12)</f>
        <v>1</v>
      </c>
      <c r="AJ44" s="162"/>
      <c r="AK44" s="162"/>
      <c r="AL44" s="162"/>
      <c r="AM44" s="162"/>
      <c r="AN44" s="162"/>
      <c r="AO44" s="162"/>
    </row>
    <row r="45" spans="1:47" hidden="1" outlineLevel="1" x14ac:dyDescent="0.2">
      <c r="D45" s="29" t="s">
        <v>74</v>
      </c>
      <c r="E45" s="162">
        <f>SUM(E12:E12)</f>
        <v>1</v>
      </c>
      <c r="F45" s="162" t="e">
        <f>SUM(#REF!)</f>
        <v>#REF!</v>
      </c>
      <c r="G45" s="162" t="e">
        <f>SUM(#REF!)</f>
        <v>#REF!</v>
      </c>
      <c r="H45" s="162" t="e">
        <f>SUM(#REF!)</f>
        <v>#REF!</v>
      </c>
      <c r="I45" s="162" t="e">
        <f>SUM(#REF!)</f>
        <v>#REF!</v>
      </c>
      <c r="J45" s="162" t="e">
        <f>SUM(#REF!)</f>
        <v>#REF!</v>
      </c>
      <c r="K45" s="162"/>
      <c r="L45" s="162" t="e">
        <f>SUM(#REF!)</f>
        <v>#REF!</v>
      </c>
      <c r="M45" s="162"/>
      <c r="N45" s="162" t="e">
        <f>SUM(#REF!)</f>
        <v>#REF!</v>
      </c>
      <c r="O45" s="162" t="e">
        <f>SUM(#REF!)</f>
        <v>#REF!</v>
      </c>
      <c r="P45" s="162" t="e">
        <f>SUM(#REF!)</f>
        <v>#REF!</v>
      </c>
      <c r="Q45" s="162" t="e">
        <f>SUM(#REF!)</f>
        <v>#REF!</v>
      </c>
      <c r="R45" s="162"/>
      <c r="S45" s="162" t="e">
        <f>SUM(#REF!)</f>
        <v>#REF!</v>
      </c>
      <c r="T45" s="162" t="e">
        <f>SUM(#REF!)</f>
        <v>#REF!</v>
      </c>
      <c r="U45" s="162" t="e">
        <f>SUM(#REF!)</f>
        <v>#REF!</v>
      </c>
      <c r="V45" s="162" t="e">
        <f>SUM(#REF!)</f>
        <v>#REF!</v>
      </c>
      <c r="W45" s="162" t="e">
        <f>SUM(#REF!)</f>
        <v>#REF!</v>
      </c>
      <c r="X45" s="162" t="e">
        <f>SUM(#REF!)</f>
        <v>#REF!</v>
      </c>
      <c r="Y45" s="162" t="e">
        <f>SUM(#REF!)</f>
        <v>#REF!</v>
      </c>
      <c r="Z45" s="162" t="e">
        <f>SUM(#REF!)</f>
        <v>#REF!</v>
      </c>
      <c r="AA45" s="162" t="e">
        <f>SUM(#REF!)</f>
        <v>#REF!</v>
      </c>
      <c r="AB45" s="162" t="e">
        <f>SUM(#REF!)</f>
        <v>#REF!</v>
      </c>
      <c r="AC45" s="162" t="e">
        <f>SUM(#REF!)</f>
        <v>#REF!</v>
      </c>
      <c r="AD45" s="162" t="e">
        <f>SUM(#REF!)</f>
        <v>#REF!</v>
      </c>
      <c r="AE45" s="162"/>
      <c r="AF45" s="162" t="e">
        <f>SUM(#REF!)</f>
        <v>#REF!</v>
      </c>
      <c r="AG45" s="162" t="e">
        <f>SUM(#REF!)</f>
        <v>#REF!</v>
      </c>
      <c r="AH45" s="162" t="e">
        <f>SUM(#REF!)</f>
        <v>#REF!</v>
      </c>
      <c r="AI45" s="162" t="e">
        <f>SUM(#REF!)</f>
        <v>#REF!</v>
      </c>
      <c r="AJ45" s="162"/>
      <c r="AK45" s="162"/>
      <c r="AL45" s="162"/>
      <c r="AM45" s="162"/>
      <c r="AN45" s="162"/>
      <c r="AO45" s="162"/>
    </row>
    <row r="46" spans="1:47" hidden="1" outlineLevel="1" x14ac:dyDescent="0.2">
      <c r="D46" s="29" t="s">
        <v>75</v>
      </c>
      <c r="E46" s="162" t="e">
        <f>SUM(#REF!)</f>
        <v>#REF!</v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</row>
    <row r="47" spans="1:47" hidden="1" outlineLevel="1" x14ac:dyDescent="0.2">
      <c r="D47" s="29" t="s">
        <v>76</v>
      </c>
      <c r="E47" s="162"/>
      <c r="F47" s="162" t="e">
        <f>SUM(#REF!)</f>
        <v>#REF!</v>
      </c>
      <c r="G47" s="162" t="e">
        <f>SUM(#REF!)</f>
        <v>#REF!</v>
      </c>
      <c r="H47" s="162" t="e">
        <f>SUM(#REF!)</f>
        <v>#REF!</v>
      </c>
      <c r="I47" s="162" t="e">
        <f>SUM(#REF!)</f>
        <v>#REF!</v>
      </c>
      <c r="J47" s="162" t="e">
        <f>SUM(#REF!)</f>
        <v>#REF!</v>
      </c>
      <c r="K47" s="162"/>
      <c r="L47" s="162" t="e">
        <f>SUM(#REF!)</f>
        <v>#REF!</v>
      </c>
      <c r="M47" s="162"/>
      <c r="N47" s="162" t="e">
        <f>SUM(#REF!)</f>
        <v>#REF!</v>
      </c>
      <c r="O47" s="162" t="e">
        <f>SUM(#REF!)</f>
        <v>#REF!</v>
      </c>
      <c r="P47" s="162" t="e">
        <f>SUM(#REF!)</f>
        <v>#REF!</v>
      </c>
      <c r="Q47" s="162" t="e">
        <f>SUM(#REF!)</f>
        <v>#REF!</v>
      </c>
      <c r="R47" s="162"/>
      <c r="S47" s="162" t="e">
        <f>SUM(#REF!)</f>
        <v>#REF!</v>
      </c>
      <c r="T47" s="162" t="e">
        <f>SUM(#REF!)</f>
        <v>#REF!</v>
      </c>
      <c r="U47" s="162" t="e">
        <f>SUM(#REF!)</f>
        <v>#REF!</v>
      </c>
      <c r="V47" s="162" t="e">
        <f>SUM(#REF!)</f>
        <v>#REF!</v>
      </c>
      <c r="W47" s="162" t="e">
        <f>SUM(#REF!)</f>
        <v>#REF!</v>
      </c>
      <c r="X47" s="162" t="e">
        <f>SUM(#REF!)</f>
        <v>#REF!</v>
      </c>
      <c r="Y47" s="162" t="e">
        <f>SUM(#REF!)</f>
        <v>#REF!</v>
      </c>
      <c r="Z47" s="162" t="e">
        <f>SUM(#REF!)</f>
        <v>#REF!</v>
      </c>
      <c r="AA47" s="162" t="e">
        <f>SUM(#REF!)</f>
        <v>#REF!</v>
      </c>
      <c r="AB47" s="162" t="e">
        <f>SUM(#REF!)</f>
        <v>#REF!</v>
      </c>
      <c r="AC47" s="162" t="e">
        <f>SUM(#REF!)</f>
        <v>#REF!</v>
      </c>
      <c r="AD47" s="162" t="e">
        <f>SUM(#REF!)</f>
        <v>#REF!</v>
      </c>
      <c r="AE47" s="162"/>
      <c r="AF47" s="162" t="e">
        <f>SUM(#REF!)</f>
        <v>#REF!</v>
      </c>
      <c r="AG47" s="162" t="e">
        <f>SUM(#REF!)</f>
        <v>#REF!</v>
      </c>
      <c r="AH47" s="162" t="e">
        <f>SUM(#REF!)</f>
        <v>#REF!</v>
      </c>
      <c r="AI47" s="162" t="e">
        <f>SUM(#REF!)</f>
        <v>#REF!</v>
      </c>
      <c r="AJ47" s="162"/>
      <c r="AK47" s="162"/>
      <c r="AL47" s="162"/>
      <c r="AM47" s="162"/>
      <c r="AN47" s="162"/>
      <c r="AO47" s="162"/>
    </row>
    <row r="48" spans="1:47" hidden="1" outlineLevel="1" x14ac:dyDescent="0.2">
      <c r="E48" s="162">
        <f t="shared" ref="E48" si="20">SUM(E33:E33)</f>
        <v>2</v>
      </c>
      <c r="F48" s="162" t="e">
        <f t="shared" ref="E48:F49" si="21">SUM(F44:F47)</f>
        <v>#REF!</v>
      </c>
      <c r="G48" s="162" t="e">
        <f>SUM(G44:G47)</f>
        <v>#REF!</v>
      </c>
      <c r="H48" s="162" t="e">
        <f t="shared" ref="H48:AI48" si="22">SUM(H44:H47)</f>
        <v>#REF!</v>
      </c>
      <c r="I48" s="162" t="e">
        <f t="shared" si="22"/>
        <v>#REF!</v>
      </c>
      <c r="J48" s="162" t="e">
        <f t="shared" si="22"/>
        <v>#REF!</v>
      </c>
      <c r="K48" s="162"/>
      <c r="L48" s="162" t="e">
        <f t="shared" si="22"/>
        <v>#REF!</v>
      </c>
      <c r="M48" s="162"/>
      <c r="N48" s="162" t="e">
        <f t="shared" si="22"/>
        <v>#REF!</v>
      </c>
      <c r="O48" s="162" t="e">
        <f t="shared" si="22"/>
        <v>#REF!</v>
      </c>
      <c r="P48" s="162" t="e">
        <f t="shared" si="22"/>
        <v>#REF!</v>
      </c>
      <c r="Q48" s="162" t="e">
        <f t="shared" si="22"/>
        <v>#REF!</v>
      </c>
      <c r="R48" s="162"/>
      <c r="S48" s="162" t="e">
        <f t="shared" si="22"/>
        <v>#REF!</v>
      </c>
      <c r="T48" s="162" t="e">
        <f t="shared" si="22"/>
        <v>#REF!</v>
      </c>
      <c r="U48" s="162" t="e">
        <f t="shared" si="22"/>
        <v>#REF!</v>
      </c>
      <c r="V48" s="162" t="e">
        <f t="shared" si="22"/>
        <v>#REF!</v>
      </c>
      <c r="W48" s="162" t="e">
        <f t="shared" si="22"/>
        <v>#REF!</v>
      </c>
      <c r="X48" s="162" t="e">
        <f t="shared" si="22"/>
        <v>#REF!</v>
      </c>
      <c r="Y48" s="162" t="e">
        <f t="shared" si="22"/>
        <v>#REF!</v>
      </c>
      <c r="Z48" s="162" t="e">
        <f t="shared" si="22"/>
        <v>#REF!</v>
      </c>
      <c r="AA48" s="162" t="e">
        <f t="shared" si="22"/>
        <v>#REF!</v>
      </c>
      <c r="AB48" s="162" t="e">
        <f t="shared" si="22"/>
        <v>#REF!</v>
      </c>
      <c r="AC48" s="162" t="e">
        <f t="shared" si="22"/>
        <v>#REF!</v>
      </c>
      <c r="AD48" s="162" t="e">
        <f t="shared" si="22"/>
        <v>#REF!</v>
      </c>
      <c r="AE48" s="162"/>
      <c r="AF48" s="162" t="e">
        <f t="shared" si="22"/>
        <v>#REF!</v>
      </c>
      <c r="AG48" s="162" t="e">
        <f t="shared" si="22"/>
        <v>#REF!</v>
      </c>
      <c r="AH48" s="162" t="e">
        <f t="shared" si="22"/>
        <v>#REF!</v>
      </c>
      <c r="AI48" s="162" t="e">
        <f t="shared" si="22"/>
        <v>#REF!</v>
      </c>
      <c r="AJ48" s="162"/>
      <c r="AK48" s="162"/>
      <c r="AL48" s="162"/>
      <c r="AM48" s="162"/>
      <c r="AN48" s="162"/>
      <c r="AO48" s="162"/>
    </row>
    <row r="49" spans="5:5" hidden="1" outlineLevel="1" x14ac:dyDescent="0.2">
      <c r="E49" s="162" t="e">
        <f t="shared" si="21"/>
        <v>#REF!</v>
      </c>
    </row>
    <row r="50" spans="5:5" hidden="1" outlineLevel="1" x14ac:dyDescent="0.2"/>
    <row r="51" spans="5:5" hidden="1" outlineLevel="1" x14ac:dyDescent="0.2"/>
    <row r="52" spans="5:5" hidden="1" outlineLevel="1" x14ac:dyDescent="0.2"/>
    <row r="53" spans="5:5" hidden="1" outlineLevel="1" x14ac:dyDescent="0.2"/>
    <row r="54" spans="5:5" hidden="1" outlineLevel="1" x14ac:dyDescent="0.2"/>
    <row r="55" spans="5:5" hidden="1" outlineLevel="1" x14ac:dyDescent="0.2"/>
    <row r="56" spans="5:5" hidden="1" outlineLevel="1" x14ac:dyDescent="0.2"/>
    <row r="57" spans="5:5" hidden="1" outlineLevel="1" x14ac:dyDescent="0.2"/>
    <row r="58" spans="5:5" hidden="1" outlineLevel="1" x14ac:dyDescent="0.2"/>
    <row r="59" spans="5:5" hidden="1" outlineLevel="1" x14ac:dyDescent="0.2"/>
    <row r="60" spans="5:5" hidden="1" outlineLevel="1" x14ac:dyDescent="0.2"/>
    <row r="61" spans="5:5" hidden="1" outlineLevel="1" x14ac:dyDescent="0.2"/>
    <row r="62" spans="5:5" collapsed="1" x14ac:dyDescent="0.2"/>
  </sheetData>
  <sortState ref="A12:AK47">
    <sortCondition ref="B12:B47"/>
  </sortState>
  <mergeCells count="7">
    <mergeCell ref="A34:B34"/>
    <mergeCell ref="S7:U7"/>
    <mergeCell ref="A9:A11"/>
    <mergeCell ref="B9:C11"/>
    <mergeCell ref="AP9:AP10"/>
    <mergeCell ref="D10:D11"/>
    <mergeCell ref="A33:B33"/>
  </mergeCells>
  <pageMargins left="0.7" right="0.7" top="0.75" bottom="0.75" header="0.3" footer="0.3"/>
  <pageSetup paperSize="9" scale="5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FFC000"/>
  </sheetPr>
  <dimension ref="A1:GL163"/>
  <sheetViews>
    <sheetView topLeftCell="A6" workbookViewId="0">
      <selection activeCell="N16" sqref="N16"/>
    </sheetView>
  </sheetViews>
  <sheetFormatPr defaultColWidth="10.7109375" defaultRowHeight="12.75" outlineLevelRow="1" x14ac:dyDescent="0.2"/>
  <cols>
    <col min="1" max="1" width="7.140625" style="68" customWidth="1"/>
    <col min="2" max="2" width="16.140625" style="68" customWidth="1"/>
    <col min="3" max="3" width="15.28515625" style="68" customWidth="1"/>
    <col min="4" max="4" width="3.28515625" style="68" customWidth="1"/>
    <col min="5" max="5" width="13.7109375" style="68" customWidth="1"/>
    <col min="6" max="6" width="10.7109375" style="68" customWidth="1"/>
    <col min="7" max="7" width="6.28515625" style="68" customWidth="1"/>
    <col min="8" max="8" width="17.85546875" style="68" customWidth="1"/>
    <col min="9" max="9" width="11.140625" style="68" customWidth="1"/>
    <col min="10" max="10" width="10.7109375" style="95" customWidth="1"/>
    <col min="11" max="11" width="10.7109375" style="68" customWidth="1"/>
    <col min="12" max="256" width="10.7109375" style="68"/>
    <col min="257" max="257" width="7.140625" style="68" customWidth="1"/>
    <col min="258" max="258" width="13.28515625" style="68" customWidth="1"/>
    <col min="259" max="259" width="15.28515625" style="68" customWidth="1"/>
    <col min="260" max="260" width="3.28515625" style="68" customWidth="1"/>
    <col min="261" max="261" width="13.7109375" style="68" customWidth="1"/>
    <col min="262" max="262" width="10.7109375" style="68" customWidth="1"/>
    <col min="263" max="263" width="6.28515625" style="68" customWidth="1"/>
    <col min="264" max="264" width="17.85546875" style="68" customWidth="1"/>
    <col min="265" max="265" width="11.140625" style="68" customWidth="1"/>
    <col min="266" max="267" width="10.7109375" style="68" customWidth="1"/>
    <col min="268" max="512" width="10.7109375" style="68"/>
    <col min="513" max="513" width="7.140625" style="68" customWidth="1"/>
    <col min="514" max="514" width="13.28515625" style="68" customWidth="1"/>
    <col min="515" max="515" width="15.28515625" style="68" customWidth="1"/>
    <col min="516" max="516" width="3.28515625" style="68" customWidth="1"/>
    <col min="517" max="517" width="13.7109375" style="68" customWidth="1"/>
    <col min="518" max="518" width="10.7109375" style="68" customWidth="1"/>
    <col min="519" max="519" width="6.28515625" style="68" customWidth="1"/>
    <col min="520" max="520" width="17.85546875" style="68" customWidth="1"/>
    <col min="521" max="521" width="11.140625" style="68" customWidth="1"/>
    <col min="522" max="523" width="10.7109375" style="68" customWidth="1"/>
    <col min="524" max="768" width="10.7109375" style="68"/>
    <col min="769" max="769" width="7.140625" style="68" customWidth="1"/>
    <col min="770" max="770" width="13.28515625" style="68" customWidth="1"/>
    <col min="771" max="771" width="15.28515625" style="68" customWidth="1"/>
    <col min="772" max="772" width="3.28515625" style="68" customWidth="1"/>
    <col min="773" max="773" width="13.7109375" style="68" customWidth="1"/>
    <col min="774" max="774" width="10.7109375" style="68" customWidth="1"/>
    <col min="775" max="775" width="6.28515625" style="68" customWidth="1"/>
    <col min="776" max="776" width="17.85546875" style="68" customWidth="1"/>
    <col min="777" max="777" width="11.140625" style="68" customWidth="1"/>
    <col min="778" max="779" width="10.7109375" style="68" customWidth="1"/>
    <col min="780" max="1024" width="10.7109375" style="68"/>
    <col min="1025" max="1025" width="7.140625" style="68" customWidth="1"/>
    <col min="1026" max="1026" width="13.28515625" style="68" customWidth="1"/>
    <col min="1027" max="1027" width="15.28515625" style="68" customWidth="1"/>
    <col min="1028" max="1028" width="3.28515625" style="68" customWidth="1"/>
    <col min="1029" max="1029" width="13.7109375" style="68" customWidth="1"/>
    <col min="1030" max="1030" width="10.7109375" style="68" customWidth="1"/>
    <col min="1031" max="1031" width="6.28515625" style="68" customWidth="1"/>
    <col min="1032" max="1032" width="17.85546875" style="68" customWidth="1"/>
    <col min="1033" max="1033" width="11.140625" style="68" customWidth="1"/>
    <col min="1034" max="1035" width="10.7109375" style="68" customWidth="1"/>
    <col min="1036" max="1280" width="10.7109375" style="68"/>
    <col min="1281" max="1281" width="7.140625" style="68" customWidth="1"/>
    <col min="1282" max="1282" width="13.28515625" style="68" customWidth="1"/>
    <col min="1283" max="1283" width="15.28515625" style="68" customWidth="1"/>
    <col min="1284" max="1284" width="3.28515625" style="68" customWidth="1"/>
    <col min="1285" max="1285" width="13.7109375" style="68" customWidth="1"/>
    <col min="1286" max="1286" width="10.7109375" style="68" customWidth="1"/>
    <col min="1287" max="1287" width="6.28515625" style="68" customWidth="1"/>
    <col min="1288" max="1288" width="17.85546875" style="68" customWidth="1"/>
    <col min="1289" max="1289" width="11.140625" style="68" customWidth="1"/>
    <col min="1290" max="1291" width="10.7109375" style="68" customWidth="1"/>
    <col min="1292" max="1536" width="10.7109375" style="68"/>
    <col min="1537" max="1537" width="7.140625" style="68" customWidth="1"/>
    <col min="1538" max="1538" width="13.28515625" style="68" customWidth="1"/>
    <col min="1539" max="1539" width="15.28515625" style="68" customWidth="1"/>
    <col min="1540" max="1540" width="3.28515625" style="68" customWidth="1"/>
    <col min="1541" max="1541" width="13.7109375" style="68" customWidth="1"/>
    <col min="1542" max="1542" width="10.7109375" style="68" customWidth="1"/>
    <col min="1543" max="1543" width="6.28515625" style="68" customWidth="1"/>
    <col min="1544" max="1544" width="17.85546875" style="68" customWidth="1"/>
    <col min="1545" max="1545" width="11.140625" style="68" customWidth="1"/>
    <col min="1546" max="1547" width="10.7109375" style="68" customWidth="1"/>
    <col min="1548" max="1792" width="10.7109375" style="68"/>
    <col min="1793" max="1793" width="7.140625" style="68" customWidth="1"/>
    <col min="1794" max="1794" width="13.28515625" style="68" customWidth="1"/>
    <col min="1795" max="1795" width="15.28515625" style="68" customWidth="1"/>
    <col min="1796" max="1796" width="3.28515625" style="68" customWidth="1"/>
    <col min="1797" max="1797" width="13.7109375" style="68" customWidth="1"/>
    <col min="1798" max="1798" width="10.7109375" style="68" customWidth="1"/>
    <col min="1799" max="1799" width="6.28515625" style="68" customWidth="1"/>
    <col min="1800" max="1800" width="17.85546875" style="68" customWidth="1"/>
    <col min="1801" max="1801" width="11.140625" style="68" customWidth="1"/>
    <col min="1802" max="1803" width="10.7109375" style="68" customWidth="1"/>
    <col min="1804" max="2048" width="10.7109375" style="68"/>
    <col min="2049" max="2049" width="7.140625" style="68" customWidth="1"/>
    <col min="2050" max="2050" width="13.28515625" style="68" customWidth="1"/>
    <col min="2051" max="2051" width="15.28515625" style="68" customWidth="1"/>
    <col min="2052" max="2052" width="3.28515625" style="68" customWidth="1"/>
    <col min="2053" max="2053" width="13.7109375" style="68" customWidth="1"/>
    <col min="2054" max="2054" width="10.7109375" style="68" customWidth="1"/>
    <col min="2055" max="2055" width="6.28515625" style="68" customWidth="1"/>
    <col min="2056" max="2056" width="17.85546875" style="68" customWidth="1"/>
    <col min="2057" max="2057" width="11.140625" style="68" customWidth="1"/>
    <col min="2058" max="2059" width="10.7109375" style="68" customWidth="1"/>
    <col min="2060" max="2304" width="10.7109375" style="68"/>
    <col min="2305" max="2305" width="7.140625" style="68" customWidth="1"/>
    <col min="2306" max="2306" width="13.28515625" style="68" customWidth="1"/>
    <col min="2307" max="2307" width="15.28515625" style="68" customWidth="1"/>
    <col min="2308" max="2308" width="3.28515625" style="68" customWidth="1"/>
    <col min="2309" max="2309" width="13.7109375" style="68" customWidth="1"/>
    <col min="2310" max="2310" width="10.7109375" style="68" customWidth="1"/>
    <col min="2311" max="2311" width="6.28515625" style="68" customWidth="1"/>
    <col min="2312" max="2312" width="17.85546875" style="68" customWidth="1"/>
    <col min="2313" max="2313" width="11.140625" style="68" customWidth="1"/>
    <col min="2314" max="2315" width="10.7109375" style="68" customWidth="1"/>
    <col min="2316" max="2560" width="10.7109375" style="68"/>
    <col min="2561" max="2561" width="7.140625" style="68" customWidth="1"/>
    <col min="2562" max="2562" width="13.28515625" style="68" customWidth="1"/>
    <col min="2563" max="2563" width="15.28515625" style="68" customWidth="1"/>
    <col min="2564" max="2564" width="3.28515625" style="68" customWidth="1"/>
    <col min="2565" max="2565" width="13.7109375" style="68" customWidth="1"/>
    <col min="2566" max="2566" width="10.7109375" style="68" customWidth="1"/>
    <col min="2567" max="2567" width="6.28515625" style="68" customWidth="1"/>
    <col min="2568" max="2568" width="17.85546875" style="68" customWidth="1"/>
    <col min="2569" max="2569" width="11.140625" style="68" customWidth="1"/>
    <col min="2570" max="2571" width="10.7109375" style="68" customWidth="1"/>
    <col min="2572" max="2816" width="10.7109375" style="68"/>
    <col min="2817" max="2817" width="7.140625" style="68" customWidth="1"/>
    <col min="2818" max="2818" width="13.28515625" style="68" customWidth="1"/>
    <col min="2819" max="2819" width="15.28515625" style="68" customWidth="1"/>
    <col min="2820" max="2820" width="3.28515625" style="68" customWidth="1"/>
    <col min="2821" max="2821" width="13.7109375" style="68" customWidth="1"/>
    <col min="2822" max="2822" width="10.7109375" style="68" customWidth="1"/>
    <col min="2823" max="2823" width="6.28515625" style="68" customWidth="1"/>
    <col min="2824" max="2824" width="17.85546875" style="68" customWidth="1"/>
    <col min="2825" max="2825" width="11.140625" style="68" customWidth="1"/>
    <col min="2826" max="2827" width="10.7109375" style="68" customWidth="1"/>
    <col min="2828" max="3072" width="10.7109375" style="68"/>
    <col min="3073" max="3073" width="7.140625" style="68" customWidth="1"/>
    <col min="3074" max="3074" width="13.28515625" style="68" customWidth="1"/>
    <col min="3075" max="3075" width="15.28515625" style="68" customWidth="1"/>
    <col min="3076" max="3076" width="3.28515625" style="68" customWidth="1"/>
    <col min="3077" max="3077" width="13.7109375" style="68" customWidth="1"/>
    <col min="3078" max="3078" width="10.7109375" style="68" customWidth="1"/>
    <col min="3079" max="3079" width="6.28515625" style="68" customWidth="1"/>
    <col min="3080" max="3080" width="17.85546875" style="68" customWidth="1"/>
    <col min="3081" max="3081" width="11.140625" style="68" customWidth="1"/>
    <col min="3082" max="3083" width="10.7109375" style="68" customWidth="1"/>
    <col min="3084" max="3328" width="10.7109375" style="68"/>
    <col min="3329" max="3329" width="7.140625" style="68" customWidth="1"/>
    <col min="3330" max="3330" width="13.28515625" style="68" customWidth="1"/>
    <col min="3331" max="3331" width="15.28515625" style="68" customWidth="1"/>
    <col min="3332" max="3332" width="3.28515625" style="68" customWidth="1"/>
    <col min="3333" max="3333" width="13.7109375" style="68" customWidth="1"/>
    <col min="3334" max="3334" width="10.7109375" style="68" customWidth="1"/>
    <col min="3335" max="3335" width="6.28515625" style="68" customWidth="1"/>
    <col min="3336" max="3336" width="17.85546875" style="68" customWidth="1"/>
    <col min="3337" max="3337" width="11.140625" style="68" customWidth="1"/>
    <col min="3338" max="3339" width="10.7109375" style="68" customWidth="1"/>
    <col min="3340" max="3584" width="10.7109375" style="68"/>
    <col min="3585" max="3585" width="7.140625" style="68" customWidth="1"/>
    <col min="3586" max="3586" width="13.28515625" style="68" customWidth="1"/>
    <col min="3587" max="3587" width="15.28515625" style="68" customWidth="1"/>
    <col min="3588" max="3588" width="3.28515625" style="68" customWidth="1"/>
    <col min="3589" max="3589" width="13.7109375" style="68" customWidth="1"/>
    <col min="3590" max="3590" width="10.7109375" style="68" customWidth="1"/>
    <col min="3591" max="3591" width="6.28515625" style="68" customWidth="1"/>
    <col min="3592" max="3592" width="17.85546875" style="68" customWidth="1"/>
    <col min="3593" max="3593" width="11.140625" style="68" customWidth="1"/>
    <col min="3594" max="3595" width="10.7109375" style="68" customWidth="1"/>
    <col min="3596" max="3840" width="10.7109375" style="68"/>
    <col min="3841" max="3841" width="7.140625" style="68" customWidth="1"/>
    <col min="3842" max="3842" width="13.28515625" style="68" customWidth="1"/>
    <col min="3843" max="3843" width="15.28515625" style="68" customWidth="1"/>
    <col min="3844" max="3844" width="3.28515625" style="68" customWidth="1"/>
    <col min="3845" max="3845" width="13.7109375" style="68" customWidth="1"/>
    <col min="3846" max="3846" width="10.7109375" style="68" customWidth="1"/>
    <col min="3847" max="3847" width="6.28515625" style="68" customWidth="1"/>
    <col min="3848" max="3848" width="17.85546875" style="68" customWidth="1"/>
    <col min="3849" max="3849" width="11.140625" style="68" customWidth="1"/>
    <col min="3850" max="3851" width="10.7109375" style="68" customWidth="1"/>
    <col min="3852" max="4096" width="10.7109375" style="68"/>
    <col min="4097" max="4097" width="7.140625" style="68" customWidth="1"/>
    <col min="4098" max="4098" width="13.28515625" style="68" customWidth="1"/>
    <col min="4099" max="4099" width="15.28515625" style="68" customWidth="1"/>
    <col min="4100" max="4100" width="3.28515625" style="68" customWidth="1"/>
    <col min="4101" max="4101" width="13.7109375" style="68" customWidth="1"/>
    <col min="4102" max="4102" width="10.7109375" style="68" customWidth="1"/>
    <col min="4103" max="4103" width="6.28515625" style="68" customWidth="1"/>
    <col min="4104" max="4104" width="17.85546875" style="68" customWidth="1"/>
    <col min="4105" max="4105" width="11.140625" style="68" customWidth="1"/>
    <col min="4106" max="4107" width="10.7109375" style="68" customWidth="1"/>
    <col min="4108" max="4352" width="10.7109375" style="68"/>
    <col min="4353" max="4353" width="7.140625" style="68" customWidth="1"/>
    <col min="4354" max="4354" width="13.28515625" style="68" customWidth="1"/>
    <col min="4355" max="4355" width="15.28515625" style="68" customWidth="1"/>
    <col min="4356" max="4356" width="3.28515625" style="68" customWidth="1"/>
    <col min="4357" max="4357" width="13.7109375" style="68" customWidth="1"/>
    <col min="4358" max="4358" width="10.7109375" style="68" customWidth="1"/>
    <col min="4359" max="4359" width="6.28515625" style="68" customWidth="1"/>
    <col min="4360" max="4360" width="17.85546875" style="68" customWidth="1"/>
    <col min="4361" max="4361" width="11.140625" style="68" customWidth="1"/>
    <col min="4362" max="4363" width="10.7109375" style="68" customWidth="1"/>
    <col min="4364" max="4608" width="10.7109375" style="68"/>
    <col min="4609" max="4609" width="7.140625" style="68" customWidth="1"/>
    <col min="4610" max="4610" width="13.28515625" style="68" customWidth="1"/>
    <col min="4611" max="4611" width="15.28515625" style="68" customWidth="1"/>
    <col min="4612" max="4612" width="3.28515625" style="68" customWidth="1"/>
    <col min="4613" max="4613" width="13.7109375" style="68" customWidth="1"/>
    <col min="4614" max="4614" width="10.7109375" style="68" customWidth="1"/>
    <col min="4615" max="4615" width="6.28515625" style="68" customWidth="1"/>
    <col min="4616" max="4616" width="17.85546875" style="68" customWidth="1"/>
    <col min="4617" max="4617" width="11.140625" style="68" customWidth="1"/>
    <col min="4618" max="4619" width="10.7109375" style="68" customWidth="1"/>
    <col min="4620" max="4864" width="10.7109375" style="68"/>
    <col min="4865" max="4865" width="7.140625" style="68" customWidth="1"/>
    <col min="4866" max="4866" width="13.28515625" style="68" customWidth="1"/>
    <col min="4867" max="4867" width="15.28515625" style="68" customWidth="1"/>
    <col min="4868" max="4868" width="3.28515625" style="68" customWidth="1"/>
    <col min="4869" max="4869" width="13.7109375" style="68" customWidth="1"/>
    <col min="4870" max="4870" width="10.7109375" style="68" customWidth="1"/>
    <col min="4871" max="4871" width="6.28515625" style="68" customWidth="1"/>
    <col min="4872" max="4872" width="17.85546875" style="68" customWidth="1"/>
    <col min="4873" max="4873" width="11.140625" style="68" customWidth="1"/>
    <col min="4874" max="4875" width="10.7109375" style="68" customWidth="1"/>
    <col min="4876" max="5120" width="10.7109375" style="68"/>
    <col min="5121" max="5121" width="7.140625" style="68" customWidth="1"/>
    <col min="5122" max="5122" width="13.28515625" style="68" customWidth="1"/>
    <col min="5123" max="5123" width="15.28515625" style="68" customWidth="1"/>
    <col min="5124" max="5124" width="3.28515625" style="68" customWidth="1"/>
    <col min="5125" max="5125" width="13.7109375" style="68" customWidth="1"/>
    <col min="5126" max="5126" width="10.7109375" style="68" customWidth="1"/>
    <col min="5127" max="5127" width="6.28515625" style="68" customWidth="1"/>
    <col min="5128" max="5128" width="17.85546875" style="68" customWidth="1"/>
    <col min="5129" max="5129" width="11.140625" style="68" customWidth="1"/>
    <col min="5130" max="5131" width="10.7109375" style="68" customWidth="1"/>
    <col min="5132" max="5376" width="10.7109375" style="68"/>
    <col min="5377" max="5377" width="7.140625" style="68" customWidth="1"/>
    <col min="5378" max="5378" width="13.28515625" style="68" customWidth="1"/>
    <col min="5379" max="5379" width="15.28515625" style="68" customWidth="1"/>
    <col min="5380" max="5380" width="3.28515625" style="68" customWidth="1"/>
    <col min="5381" max="5381" width="13.7109375" style="68" customWidth="1"/>
    <col min="5382" max="5382" width="10.7109375" style="68" customWidth="1"/>
    <col min="5383" max="5383" width="6.28515625" style="68" customWidth="1"/>
    <col min="5384" max="5384" width="17.85546875" style="68" customWidth="1"/>
    <col min="5385" max="5385" width="11.140625" style="68" customWidth="1"/>
    <col min="5386" max="5387" width="10.7109375" style="68" customWidth="1"/>
    <col min="5388" max="5632" width="10.7109375" style="68"/>
    <col min="5633" max="5633" width="7.140625" style="68" customWidth="1"/>
    <col min="5634" max="5634" width="13.28515625" style="68" customWidth="1"/>
    <col min="5635" max="5635" width="15.28515625" style="68" customWidth="1"/>
    <col min="5636" max="5636" width="3.28515625" style="68" customWidth="1"/>
    <col min="5637" max="5637" width="13.7109375" style="68" customWidth="1"/>
    <col min="5638" max="5638" width="10.7109375" style="68" customWidth="1"/>
    <col min="5639" max="5639" width="6.28515625" style="68" customWidth="1"/>
    <col min="5640" max="5640" width="17.85546875" style="68" customWidth="1"/>
    <col min="5641" max="5641" width="11.140625" style="68" customWidth="1"/>
    <col min="5642" max="5643" width="10.7109375" style="68" customWidth="1"/>
    <col min="5644" max="5888" width="10.7109375" style="68"/>
    <col min="5889" max="5889" width="7.140625" style="68" customWidth="1"/>
    <col min="5890" max="5890" width="13.28515625" style="68" customWidth="1"/>
    <col min="5891" max="5891" width="15.28515625" style="68" customWidth="1"/>
    <col min="5892" max="5892" width="3.28515625" style="68" customWidth="1"/>
    <col min="5893" max="5893" width="13.7109375" style="68" customWidth="1"/>
    <col min="5894" max="5894" width="10.7109375" style="68" customWidth="1"/>
    <col min="5895" max="5895" width="6.28515625" style="68" customWidth="1"/>
    <col min="5896" max="5896" width="17.85546875" style="68" customWidth="1"/>
    <col min="5897" max="5897" width="11.140625" style="68" customWidth="1"/>
    <col min="5898" max="5899" width="10.7109375" style="68" customWidth="1"/>
    <col min="5900" max="6144" width="10.7109375" style="68"/>
    <col min="6145" max="6145" width="7.140625" style="68" customWidth="1"/>
    <col min="6146" max="6146" width="13.28515625" style="68" customWidth="1"/>
    <col min="6147" max="6147" width="15.28515625" style="68" customWidth="1"/>
    <col min="6148" max="6148" width="3.28515625" style="68" customWidth="1"/>
    <col min="6149" max="6149" width="13.7109375" style="68" customWidth="1"/>
    <col min="6150" max="6150" width="10.7109375" style="68" customWidth="1"/>
    <col min="6151" max="6151" width="6.28515625" style="68" customWidth="1"/>
    <col min="6152" max="6152" width="17.85546875" style="68" customWidth="1"/>
    <col min="6153" max="6153" width="11.140625" style="68" customWidth="1"/>
    <col min="6154" max="6155" width="10.7109375" style="68" customWidth="1"/>
    <col min="6156" max="6400" width="10.7109375" style="68"/>
    <col min="6401" max="6401" width="7.140625" style="68" customWidth="1"/>
    <col min="6402" max="6402" width="13.28515625" style="68" customWidth="1"/>
    <col min="6403" max="6403" width="15.28515625" style="68" customWidth="1"/>
    <col min="6404" max="6404" width="3.28515625" style="68" customWidth="1"/>
    <col min="6405" max="6405" width="13.7109375" style="68" customWidth="1"/>
    <col min="6406" max="6406" width="10.7109375" style="68" customWidth="1"/>
    <col min="6407" max="6407" width="6.28515625" style="68" customWidth="1"/>
    <col min="6408" max="6408" width="17.85546875" style="68" customWidth="1"/>
    <col min="6409" max="6409" width="11.140625" style="68" customWidth="1"/>
    <col min="6410" max="6411" width="10.7109375" style="68" customWidth="1"/>
    <col min="6412" max="6656" width="10.7109375" style="68"/>
    <col min="6657" max="6657" width="7.140625" style="68" customWidth="1"/>
    <col min="6658" max="6658" width="13.28515625" style="68" customWidth="1"/>
    <col min="6659" max="6659" width="15.28515625" style="68" customWidth="1"/>
    <col min="6660" max="6660" width="3.28515625" style="68" customWidth="1"/>
    <col min="6661" max="6661" width="13.7109375" style="68" customWidth="1"/>
    <col min="6662" max="6662" width="10.7109375" style="68" customWidth="1"/>
    <col min="6663" max="6663" width="6.28515625" style="68" customWidth="1"/>
    <col min="6664" max="6664" width="17.85546875" style="68" customWidth="1"/>
    <col min="6665" max="6665" width="11.140625" style="68" customWidth="1"/>
    <col min="6666" max="6667" width="10.7109375" style="68" customWidth="1"/>
    <col min="6668" max="6912" width="10.7109375" style="68"/>
    <col min="6913" max="6913" width="7.140625" style="68" customWidth="1"/>
    <col min="6914" max="6914" width="13.28515625" style="68" customWidth="1"/>
    <col min="6915" max="6915" width="15.28515625" style="68" customWidth="1"/>
    <col min="6916" max="6916" width="3.28515625" style="68" customWidth="1"/>
    <col min="6917" max="6917" width="13.7109375" style="68" customWidth="1"/>
    <col min="6918" max="6918" width="10.7109375" style="68" customWidth="1"/>
    <col min="6919" max="6919" width="6.28515625" style="68" customWidth="1"/>
    <col min="6920" max="6920" width="17.85546875" style="68" customWidth="1"/>
    <col min="6921" max="6921" width="11.140625" style="68" customWidth="1"/>
    <col min="6922" max="6923" width="10.7109375" style="68" customWidth="1"/>
    <col min="6924" max="7168" width="10.7109375" style="68"/>
    <col min="7169" max="7169" width="7.140625" style="68" customWidth="1"/>
    <col min="7170" max="7170" width="13.28515625" style="68" customWidth="1"/>
    <col min="7171" max="7171" width="15.28515625" style="68" customWidth="1"/>
    <col min="7172" max="7172" width="3.28515625" style="68" customWidth="1"/>
    <col min="7173" max="7173" width="13.7109375" style="68" customWidth="1"/>
    <col min="7174" max="7174" width="10.7109375" style="68" customWidth="1"/>
    <col min="7175" max="7175" width="6.28515625" style="68" customWidth="1"/>
    <col min="7176" max="7176" width="17.85546875" style="68" customWidth="1"/>
    <col min="7177" max="7177" width="11.140625" style="68" customWidth="1"/>
    <col min="7178" max="7179" width="10.7109375" style="68" customWidth="1"/>
    <col min="7180" max="7424" width="10.7109375" style="68"/>
    <col min="7425" max="7425" width="7.140625" style="68" customWidth="1"/>
    <col min="7426" max="7426" width="13.28515625" style="68" customWidth="1"/>
    <col min="7427" max="7427" width="15.28515625" style="68" customWidth="1"/>
    <col min="7428" max="7428" width="3.28515625" style="68" customWidth="1"/>
    <col min="7429" max="7429" width="13.7109375" style="68" customWidth="1"/>
    <col min="7430" max="7430" width="10.7109375" style="68" customWidth="1"/>
    <col min="7431" max="7431" width="6.28515625" style="68" customWidth="1"/>
    <col min="7432" max="7432" width="17.85546875" style="68" customWidth="1"/>
    <col min="7433" max="7433" width="11.140625" style="68" customWidth="1"/>
    <col min="7434" max="7435" width="10.7109375" style="68" customWidth="1"/>
    <col min="7436" max="7680" width="10.7109375" style="68"/>
    <col min="7681" max="7681" width="7.140625" style="68" customWidth="1"/>
    <col min="7682" max="7682" width="13.28515625" style="68" customWidth="1"/>
    <col min="7683" max="7683" width="15.28515625" style="68" customWidth="1"/>
    <col min="7684" max="7684" width="3.28515625" style="68" customWidth="1"/>
    <col min="7685" max="7685" width="13.7109375" style="68" customWidth="1"/>
    <col min="7686" max="7686" width="10.7109375" style="68" customWidth="1"/>
    <col min="7687" max="7687" width="6.28515625" style="68" customWidth="1"/>
    <col min="7688" max="7688" width="17.85546875" style="68" customWidth="1"/>
    <col min="7689" max="7689" width="11.140625" style="68" customWidth="1"/>
    <col min="7690" max="7691" width="10.7109375" style="68" customWidth="1"/>
    <col min="7692" max="7936" width="10.7109375" style="68"/>
    <col min="7937" max="7937" width="7.140625" style="68" customWidth="1"/>
    <col min="7938" max="7938" width="13.28515625" style="68" customWidth="1"/>
    <col min="7939" max="7939" width="15.28515625" style="68" customWidth="1"/>
    <col min="7940" max="7940" width="3.28515625" style="68" customWidth="1"/>
    <col min="7941" max="7941" width="13.7109375" style="68" customWidth="1"/>
    <col min="7942" max="7942" width="10.7109375" style="68" customWidth="1"/>
    <col min="7943" max="7943" width="6.28515625" style="68" customWidth="1"/>
    <col min="7944" max="7944" width="17.85546875" style="68" customWidth="1"/>
    <col min="7945" max="7945" width="11.140625" style="68" customWidth="1"/>
    <col min="7946" max="7947" width="10.7109375" style="68" customWidth="1"/>
    <col min="7948" max="8192" width="10.7109375" style="68"/>
    <col min="8193" max="8193" width="7.140625" style="68" customWidth="1"/>
    <col min="8194" max="8194" width="13.28515625" style="68" customWidth="1"/>
    <col min="8195" max="8195" width="15.28515625" style="68" customWidth="1"/>
    <col min="8196" max="8196" width="3.28515625" style="68" customWidth="1"/>
    <col min="8197" max="8197" width="13.7109375" style="68" customWidth="1"/>
    <col min="8198" max="8198" width="10.7109375" style="68" customWidth="1"/>
    <col min="8199" max="8199" width="6.28515625" style="68" customWidth="1"/>
    <col min="8200" max="8200" width="17.85546875" style="68" customWidth="1"/>
    <col min="8201" max="8201" width="11.140625" style="68" customWidth="1"/>
    <col min="8202" max="8203" width="10.7109375" style="68" customWidth="1"/>
    <col min="8204" max="8448" width="10.7109375" style="68"/>
    <col min="8449" max="8449" width="7.140625" style="68" customWidth="1"/>
    <col min="8450" max="8450" width="13.28515625" style="68" customWidth="1"/>
    <col min="8451" max="8451" width="15.28515625" style="68" customWidth="1"/>
    <col min="8452" max="8452" width="3.28515625" style="68" customWidth="1"/>
    <col min="8453" max="8453" width="13.7109375" style="68" customWidth="1"/>
    <col min="8454" max="8454" width="10.7109375" style="68" customWidth="1"/>
    <col min="8455" max="8455" width="6.28515625" style="68" customWidth="1"/>
    <col min="8456" max="8456" width="17.85546875" style="68" customWidth="1"/>
    <col min="8457" max="8457" width="11.140625" style="68" customWidth="1"/>
    <col min="8458" max="8459" width="10.7109375" style="68" customWidth="1"/>
    <col min="8460" max="8704" width="10.7109375" style="68"/>
    <col min="8705" max="8705" width="7.140625" style="68" customWidth="1"/>
    <col min="8706" max="8706" width="13.28515625" style="68" customWidth="1"/>
    <col min="8707" max="8707" width="15.28515625" style="68" customWidth="1"/>
    <col min="8708" max="8708" width="3.28515625" style="68" customWidth="1"/>
    <col min="8709" max="8709" width="13.7109375" style="68" customWidth="1"/>
    <col min="8710" max="8710" width="10.7109375" style="68" customWidth="1"/>
    <col min="8711" max="8711" width="6.28515625" style="68" customWidth="1"/>
    <col min="8712" max="8712" width="17.85546875" style="68" customWidth="1"/>
    <col min="8713" max="8713" width="11.140625" style="68" customWidth="1"/>
    <col min="8714" max="8715" width="10.7109375" style="68" customWidth="1"/>
    <col min="8716" max="8960" width="10.7109375" style="68"/>
    <col min="8961" max="8961" width="7.140625" style="68" customWidth="1"/>
    <col min="8962" max="8962" width="13.28515625" style="68" customWidth="1"/>
    <col min="8963" max="8963" width="15.28515625" style="68" customWidth="1"/>
    <col min="8964" max="8964" width="3.28515625" style="68" customWidth="1"/>
    <col min="8965" max="8965" width="13.7109375" style="68" customWidth="1"/>
    <col min="8966" max="8966" width="10.7109375" style="68" customWidth="1"/>
    <col min="8967" max="8967" width="6.28515625" style="68" customWidth="1"/>
    <col min="8968" max="8968" width="17.85546875" style="68" customWidth="1"/>
    <col min="8969" max="8969" width="11.140625" style="68" customWidth="1"/>
    <col min="8970" max="8971" width="10.7109375" style="68" customWidth="1"/>
    <col min="8972" max="9216" width="10.7109375" style="68"/>
    <col min="9217" max="9217" width="7.140625" style="68" customWidth="1"/>
    <col min="9218" max="9218" width="13.28515625" style="68" customWidth="1"/>
    <col min="9219" max="9219" width="15.28515625" style="68" customWidth="1"/>
    <col min="9220" max="9220" width="3.28515625" style="68" customWidth="1"/>
    <col min="9221" max="9221" width="13.7109375" style="68" customWidth="1"/>
    <col min="9222" max="9222" width="10.7109375" style="68" customWidth="1"/>
    <col min="9223" max="9223" width="6.28515625" style="68" customWidth="1"/>
    <col min="9224" max="9224" width="17.85546875" style="68" customWidth="1"/>
    <col min="9225" max="9225" width="11.140625" style="68" customWidth="1"/>
    <col min="9226" max="9227" width="10.7109375" style="68" customWidth="1"/>
    <col min="9228" max="9472" width="10.7109375" style="68"/>
    <col min="9473" max="9473" width="7.140625" style="68" customWidth="1"/>
    <col min="9474" max="9474" width="13.28515625" style="68" customWidth="1"/>
    <col min="9475" max="9475" width="15.28515625" style="68" customWidth="1"/>
    <col min="9476" max="9476" width="3.28515625" style="68" customWidth="1"/>
    <col min="9477" max="9477" width="13.7109375" style="68" customWidth="1"/>
    <col min="9478" max="9478" width="10.7109375" style="68" customWidth="1"/>
    <col min="9479" max="9479" width="6.28515625" style="68" customWidth="1"/>
    <col min="9480" max="9480" width="17.85546875" style="68" customWidth="1"/>
    <col min="9481" max="9481" width="11.140625" style="68" customWidth="1"/>
    <col min="9482" max="9483" width="10.7109375" style="68" customWidth="1"/>
    <col min="9484" max="9728" width="10.7109375" style="68"/>
    <col min="9729" max="9729" width="7.140625" style="68" customWidth="1"/>
    <col min="9730" max="9730" width="13.28515625" style="68" customWidth="1"/>
    <col min="9731" max="9731" width="15.28515625" style="68" customWidth="1"/>
    <col min="9732" max="9732" width="3.28515625" style="68" customWidth="1"/>
    <col min="9733" max="9733" width="13.7109375" style="68" customWidth="1"/>
    <col min="9734" max="9734" width="10.7109375" style="68" customWidth="1"/>
    <col min="9735" max="9735" width="6.28515625" style="68" customWidth="1"/>
    <col min="9736" max="9736" width="17.85546875" style="68" customWidth="1"/>
    <col min="9737" max="9737" width="11.140625" style="68" customWidth="1"/>
    <col min="9738" max="9739" width="10.7109375" style="68" customWidth="1"/>
    <col min="9740" max="9984" width="10.7109375" style="68"/>
    <col min="9985" max="9985" width="7.140625" style="68" customWidth="1"/>
    <col min="9986" max="9986" width="13.28515625" style="68" customWidth="1"/>
    <col min="9987" max="9987" width="15.28515625" style="68" customWidth="1"/>
    <col min="9988" max="9988" width="3.28515625" style="68" customWidth="1"/>
    <col min="9989" max="9989" width="13.7109375" style="68" customWidth="1"/>
    <col min="9990" max="9990" width="10.7109375" style="68" customWidth="1"/>
    <col min="9991" max="9991" width="6.28515625" style="68" customWidth="1"/>
    <col min="9992" max="9992" width="17.85546875" style="68" customWidth="1"/>
    <col min="9993" max="9993" width="11.140625" style="68" customWidth="1"/>
    <col min="9994" max="9995" width="10.7109375" style="68" customWidth="1"/>
    <col min="9996" max="10240" width="10.7109375" style="68"/>
    <col min="10241" max="10241" width="7.140625" style="68" customWidth="1"/>
    <col min="10242" max="10242" width="13.28515625" style="68" customWidth="1"/>
    <col min="10243" max="10243" width="15.28515625" style="68" customWidth="1"/>
    <col min="10244" max="10244" width="3.28515625" style="68" customWidth="1"/>
    <col min="10245" max="10245" width="13.7109375" style="68" customWidth="1"/>
    <col min="10246" max="10246" width="10.7109375" style="68" customWidth="1"/>
    <col min="10247" max="10247" width="6.28515625" style="68" customWidth="1"/>
    <col min="10248" max="10248" width="17.85546875" style="68" customWidth="1"/>
    <col min="10249" max="10249" width="11.140625" style="68" customWidth="1"/>
    <col min="10250" max="10251" width="10.7109375" style="68" customWidth="1"/>
    <col min="10252" max="10496" width="10.7109375" style="68"/>
    <col min="10497" max="10497" width="7.140625" style="68" customWidth="1"/>
    <col min="10498" max="10498" width="13.28515625" style="68" customWidth="1"/>
    <col min="10499" max="10499" width="15.28515625" style="68" customWidth="1"/>
    <col min="10500" max="10500" width="3.28515625" style="68" customWidth="1"/>
    <col min="10501" max="10501" width="13.7109375" style="68" customWidth="1"/>
    <col min="10502" max="10502" width="10.7109375" style="68" customWidth="1"/>
    <col min="10503" max="10503" width="6.28515625" style="68" customWidth="1"/>
    <col min="10504" max="10504" width="17.85546875" style="68" customWidth="1"/>
    <col min="10505" max="10505" width="11.140625" style="68" customWidth="1"/>
    <col min="10506" max="10507" width="10.7109375" style="68" customWidth="1"/>
    <col min="10508" max="10752" width="10.7109375" style="68"/>
    <col min="10753" max="10753" width="7.140625" style="68" customWidth="1"/>
    <col min="10754" max="10754" width="13.28515625" style="68" customWidth="1"/>
    <col min="10755" max="10755" width="15.28515625" style="68" customWidth="1"/>
    <col min="10756" max="10756" width="3.28515625" style="68" customWidth="1"/>
    <col min="10757" max="10757" width="13.7109375" style="68" customWidth="1"/>
    <col min="10758" max="10758" width="10.7109375" style="68" customWidth="1"/>
    <col min="10759" max="10759" width="6.28515625" style="68" customWidth="1"/>
    <col min="10760" max="10760" width="17.85546875" style="68" customWidth="1"/>
    <col min="10761" max="10761" width="11.140625" style="68" customWidth="1"/>
    <col min="10762" max="10763" width="10.7109375" style="68" customWidth="1"/>
    <col min="10764" max="11008" width="10.7109375" style="68"/>
    <col min="11009" max="11009" width="7.140625" style="68" customWidth="1"/>
    <col min="11010" max="11010" width="13.28515625" style="68" customWidth="1"/>
    <col min="11011" max="11011" width="15.28515625" style="68" customWidth="1"/>
    <col min="11012" max="11012" width="3.28515625" style="68" customWidth="1"/>
    <col min="11013" max="11013" width="13.7109375" style="68" customWidth="1"/>
    <col min="11014" max="11014" width="10.7109375" style="68" customWidth="1"/>
    <col min="11015" max="11015" width="6.28515625" style="68" customWidth="1"/>
    <col min="11016" max="11016" width="17.85546875" style="68" customWidth="1"/>
    <col min="11017" max="11017" width="11.140625" style="68" customWidth="1"/>
    <col min="11018" max="11019" width="10.7109375" style="68" customWidth="1"/>
    <col min="11020" max="11264" width="10.7109375" style="68"/>
    <col min="11265" max="11265" width="7.140625" style="68" customWidth="1"/>
    <col min="11266" max="11266" width="13.28515625" style="68" customWidth="1"/>
    <col min="11267" max="11267" width="15.28515625" style="68" customWidth="1"/>
    <col min="11268" max="11268" width="3.28515625" style="68" customWidth="1"/>
    <col min="11269" max="11269" width="13.7109375" style="68" customWidth="1"/>
    <col min="11270" max="11270" width="10.7109375" style="68" customWidth="1"/>
    <col min="11271" max="11271" width="6.28515625" style="68" customWidth="1"/>
    <col min="11272" max="11272" width="17.85546875" style="68" customWidth="1"/>
    <col min="11273" max="11273" width="11.140625" style="68" customWidth="1"/>
    <col min="11274" max="11275" width="10.7109375" style="68" customWidth="1"/>
    <col min="11276" max="11520" width="10.7109375" style="68"/>
    <col min="11521" max="11521" width="7.140625" style="68" customWidth="1"/>
    <col min="11522" max="11522" width="13.28515625" style="68" customWidth="1"/>
    <col min="11523" max="11523" width="15.28515625" style="68" customWidth="1"/>
    <col min="11524" max="11524" width="3.28515625" style="68" customWidth="1"/>
    <col min="11525" max="11525" width="13.7109375" style="68" customWidth="1"/>
    <col min="11526" max="11526" width="10.7109375" style="68" customWidth="1"/>
    <col min="11527" max="11527" width="6.28515625" style="68" customWidth="1"/>
    <col min="11528" max="11528" width="17.85546875" style="68" customWidth="1"/>
    <col min="11529" max="11529" width="11.140625" style="68" customWidth="1"/>
    <col min="11530" max="11531" width="10.7109375" style="68" customWidth="1"/>
    <col min="11532" max="11776" width="10.7109375" style="68"/>
    <col min="11777" max="11777" width="7.140625" style="68" customWidth="1"/>
    <col min="11778" max="11778" width="13.28515625" style="68" customWidth="1"/>
    <col min="11779" max="11779" width="15.28515625" style="68" customWidth="1"/>
    <col min="11780" max="11780" width="3.28515625" style="68" customWidth="1"/>
    <col min="11781" max="11781" width="13.7109375" style="68" customWidth="1"/>
    <col min="11782" max="11782" width="10.7109375" style="68" customWidth="1"/>
    <col min="11783" max="11783" width="6.28515625" style="68" customWidth="1"/>
    <col min="11784" max="11784" width="17.85546875" style="68" customWidth="1"/>
    <col min="11785" max="11785" width="11.140625" style="68" customWidth="1"/>
    <col min="11786" max="11787" width="10.7109375" style="68" customWidth="1"/>
    <col min="11788" max="12032" width="10.7109375" style="68"/>
    <col min="12033" max="12033" width="7.140625" style="68" customWidth="1"/>
    <col min="12034" max="12034" width="13.28515625" style="68" customWidth="1"/>
    <col min="12035" max="12035" width="15.28515625" style="68" customWidth="1"/>
    <col min="12036" max="12036" width="3.28515625" style="68" customWidth="1"/>
    <col min="12037" max="12037" width="13.7109375" style="68" customWidth="1"/>
    <col min="12038" max="12038" width="10.7109375" style="68" customWidth="1"/>
    <col min="12039" max="12039" width="6.28515625" style="68" customWidth="1"/>
    <col min="12040" max="12040" width="17.85546875" style="68" customWidth="1"/>
    <col min="12041" max="12041" width="11.140625" style="68" customWidth="1"/>
    <col min="12042" max="12043" width="10.7109375" style="68" customWidth="1"/>
    <col min="12044" max="12288" width="10.7109375" style="68"/>
    <col min="12289" max="12289" width="7.140625" style="68" customWidth="1"/>
    <col min="12290" max="12290" width="13.28515625" style="68" customWidth="1"/>
    <col min="12291" max="12291" width="15.28515625" style="68" customWidth="1"/>
    <col min="12292" max="12292" width="3.28515625" style="68" customWidth="1"/>
    <col min="12293" max="12293" width="13.7109375" style="68" customWidth="1"/>
    <col min="12294" max="12294" width="10.7109375" style="68" customWidth="1"/>
    <col min="12295" max="12295" width="6.28515625" style="68" customWidth="1"/>
    <col min="12296" max="12296" width="17.85546875" style="68" customWidth="1"/>
    <col min="12297" max="12297" width="11.140625" style="68" customWidth="1"/>
    <col min="12298" max="12299" width="10.7109375" style="68" customWidth="1"/>
    <col min="12300" max="12544" width="10.7109375" style="68"/>
    <col min="12545" max="12545" width="7.140625" style="68" customWidth="1"/>
    <col min="12546" max="12546" width="13.28515625" style="68" customWidth="1"/>
    <col min="12547" max="12547" width="15.28515625" style="68" customWidth="1"/>
    <col min="12548" max="12548" width="3.28515625" style="68" customWidth="1"/>
    <col min="12549" max="12549" width="13.7109375" style="68" customWidth="1"/>
    <col min="12550" max="12550" width="10.7109375" style="68" customWidth="1"/>
    <col min="12551" max="12551" width="6.28515625" style="68" customWidth="1"/>
    <col min="12552" max="12552" width="17.85546875" style="68" customWidth="1"/>
    <col min="12553" max="12553" width="11.140625" style="68" customWidth="1"/>
    <col min="12554" max="12555" width="10.7109375" style="68" customWidth="1"/>
    <col min="12556" max="12800" width="10.7109375" style="68"/>
    <col min="12801" max="12801" width="7.140625" style="68" customWidth="1"/>
    <col min="12802" max="12802" width="13.28515625" style="68" customWidth="1"/>
    <col min="12803" max="12803" width="15.28515625" style="68" customWidth="1"/>
    <col min="12804" max="12804" width="3.28515625" style="68" customWidth="1"/>
    <col min="12805" max="12805" width="13.7109375" style="68" customWidth="1"/>
    <col min="12806" max="12806" width="10.7109375" style="68" customWidth="1"/>
    <col min="12807" max="12807" width="6.28515625" style="68" customWidth="1"/>
    <col min="12808" max="12808" width="17.85546875" style="68" customWidth="1"/>
    <col min="12809" max="12809" width="11.140625" style="68" customWidth="1"/>
    <col min="12810" max="12811" width="10.7109375" style="68" customWidth="1"/>
    <col min="12812" max="13056" width="10.7109375" style="68"/>
    <col min="13057" max="13057" width="7.140625" style="68" customWidth="1"/>
    <col min="13058" max="13058" width="13.28515625" style="68" customWidth="1"/>
    <col min="13059" max="13059" width="15.28515625" style="68" customWidth="1"/>
    <col min="13060" max="13060" width="3.28515625" style="68" customWidth="1"/>
    <col min="13061" max="13061" width="13.7109375" style="68" customWidth="1"/>
    <col min="13062" max="13062" width="10.7109375" style="68" customWidth="1"/>
    <col min="13063" max="13063" width="6.28515625" style="68" customWidth="1"/>
    <col min="13064" max="13064" width="17.85546875" style="68" customWidth="1"/>
    <col min="13065" max="13065" width="11.140625" style="68" customWidth="1"/>
    <col min="13066" max="13067" width="10.7109375" style="68" customWidth="1"/>
    <col min="13068" max="13312" width="10.7109375" style="68"/>
    <col min="13313" max="13313" width="7.140625" style="68" customWidth="1"/>
    <col min="13314" max="13314" width="13.28515625" style="68" customWidth="1"/>
    <col min="13315" max="13315" width="15.28515625" style="68" customWidth="1"/>
    <col min="13316" max="13316" width="3.28515625" style="68" customWidth="1"/>
    <col min="13317" max="13317" width="13.7109375" style="68" customWidth="1"/>
    <col min="13318" max="13318" width="10.7109375" style="68" customWidth="1"/>
    <col min="13319" max="13319" width="6.28515625" style="68" customWidth="1"/>
    <col min="13320" max="13320" width="17.85546875" style="68" customWidth="1"/>
    <col min="13321" max="13321" width="11.140625" style="68" customWidth="1"/>
    <col min="13322" max="13323" width="10.7109375" style="68" customWidth="1"/>
    <col min="13324" max="13568" width="10.7109375" style="68"/>
    <col min="13569" max="13569" width="7.140625" style="68" customWidth="1"/>
    <col min="13570" max="13570" width="13.28515625" style="68" customWidth="1"/>
    <col min="13571" max="13571" width="15.28515625" style="68" customWidth="1"/>
    <col min="13572" max="13572" width="3.28515625" style="68" customWidth="1"/>
    <col min="13573" max="13573" width="13.7109375" style="68" customWidth="1"/>
    <col min="13574" max="13574" width="10.7109375" style="68" customWidth="1"/>
    <col min="13575" max="13575" width="6.28515625" style="68" customWidth="1"/>
    <col min="13576" max="13576" width="17.85546875" style="68" customWidth="1"/>
    <col min="13577" max="13577" width="11.140625" style="68" customWidth="1"/>
    <col min="13578" max="13579" width="10.7109375" style="68" customWidth="1"/>
    <col min="13580" max="13824" width="10.7109375" style="68"/>
    <col min="13825" max="13825" width="7.140625" style="68" customWidth="1"/>
    <col min="13826" max="13826" width="13.28515625" style="68" customWidth="1"/>
    <col min="13827" max="13827" width="15.28515625" style="68" customWidth="1"/>
    <col min="13828" max="13828" width="3.28515625" style="68" customWidth="1"/>
    <col min="13829" max="13829" width="13.7109375" style="68" customWidth="1"/>
    <col min="13830" max="13830" width="10.7109375" style="68" customWidth="1"/>
    <col min="13831" max="13831" width="6.28515625" style="68" customWidth="1"/>
    <col min="13832" max="13832" width="17.85546875" style="68" customWidth="1"/>
    <col min="13833" max="13833" width="11.140625" style="68" customWidth="1"/>
    <col min="13834" max="13835" width="10.7109375" style="68" customWidth="1"/>
    <col min="13836" max="14080" width="10.7109375" style="68"/>
    <col min="14081" max="14081" width="7.140625" style="68" customWidth="1"/>
    <col min="14082" max="14082" width="13.28515625" style="68" customWidth="1"/>
    <col min="14083" max="14083" width="15.28515625" style="68" customWidth="1"/>
    <col min="14084" max="14084" width="3.28515625" style="68" customWidth="1"/>
    <col min="14085" max="14085" width="13.7109375" style="68" customWidth="1"/>
    <col min="14086" max="14086" width="10.7109375" style="68" customWidth="1"/>
    <col min="14087" max="14087" width="6.28515625" style="68" customWidth="1"/>
    <col min="14088" max="14088" width="17.85546875" style="68" customWidth="1"/>
    <col min="14089" max="14089" width="11.140625" style="68" customWidth="1"/>
    <col min="14090" max="14091" width="10.7109375" style="68" customWidth="1"/>
    <col min="14092" max="14336" width="10.7109375" style="68"/>
    <col min="14337" max="14337" width="7.140625" style="68" customWidth="1"/>
    <col min="14338" max="14338" width="13.28515625" style="68" customWidth="1"/>
    <col min="14339" max="14339" width="15.28515625" style="68" customWidth="1"/>
    <col min="14340" max="14340" width="3.28515625" style="68" customWidth="1"/>
    <col min="14341" max="14341" width="13.7109375" style="68" customWidth="1"/>
    <col min="14342" max="14342" width="10.7109375" style="68" customWidth="1"/>
    <col min="14343" max="14343" width="6.28515625" style="68" customWidth="1"/>
    <col min="14344" max="14344" width="17.85546875" style="68" customWidth="1"/>
    <col min="14345" max="14345" width="11.140625" style="68" customWidth="1"/>
    <col min="14346" max="14347" width="10.7109375" style="68" customWidth="1"/>
    <col min="14348" max="14592" width="10.7109375" style="68"/>
    <col min="14593" max="14593" width="7.140625" style="68" customWidth="1"/>
    <col min="14594" max="14594" width="13.28515625" style="68" customWidth="1"/>
    <col min="14595" max="14595" width="15.28515625" style="68" customWidth="1"/>
    <col min="14596" max="14596" width="3.28515625" style="68" customWidth="1"/>
    <col min="14597" max="14597" width="13.7109375" style="68" customWidth="1"/>
    <col min="14598" max="14598" width="10.7109375" style="68" customWidth="1"/>
    <col min="14599" max="14599" width="6.28515625" style="68" customWidth="1"/>
    <col min="14600" max="14600" width="17.85546875" style="68" customWidth="1"/>
    <col min="14601" max="14601" width="11.140625" style="68" customWidth="1"/>
    <col min="14602" max="14603" width="10.7109375" style="68" customWidth="1"/>
    <col min="14604" max="14848" width="10.7109375" style="68"/>
    <col min="14849" max="14849" width="7.140625" style="68" customWidth="1"/>
    <col min="14850" max="14850" width="13.28515625" style="68" customWidth="1"/>
    <col min="14851" max="14851" width="15.28515625" style="68" customWidth="1"/>
    <col min="14852" max="14852" width="3.28515625" style="68" customWidth="1"/>
    <col min="14853" max="14853" width="13.7109375" style="68" customWidth="1"/>
    <col min="14854" max="14854" width="10.7109375" style="68" customWidth="1"/>
    <col min="14855" max="14855" width="6.28515625" style="68" customWidth="1"/>
    <col min="14856" max="14856" width="17.85546875" style="68" customWidth="1"/>
    <col min="14857" max="14857" width="11.140625" style="68" customWidth="1"/>
    <col min="14858" max="14859" width="10.7109375" style="68" customWidth="1"/>
    <col min="14860" max="15104" width="10.7109375" style="68"/>
    <col min="15105" max="15105" width="7.140625" style="68" customWidth="1"/>
    <col min="15106" max="15106" width="13.28515625" style="68" customWidth="1"/>
    <col min="15107" max="15107" width="15.28515625" style="68" customWidth="1"/>
    <col min="15108" max="15108" width="3.28515625" style="68" customWidth="1"/>
    <col min="15109" max="15109" width="13.7109375" style="68" customWidth="1"/>
    <col min="15110" max="15110" width="10.7109375" style="68" customWidth="1"/>
    <col min="15111" max="15111" width="6.28515625" style="68" customWidth="1"/>
    <col min="15112" max="15112" width="17.85546875" style="68" customWidth="1"/>
    <col min="15113" max="15113" width="11.140625" style="68" customWidth="1"/>
    <col min="15114" max="15115" width="10.7109375" style="68" customWidth="1"/>
    <col min="15116" max="15360" width="10.7109375" style="68"/>
    <col min="15361" max="15361" width="7.140625" style="68" customWidth="1"/>
    <col min="15362" max="15362" width="13.28515625" style="68" customWidth="1"/>
    <col min="15363" max="15363" width="15.28515625" style="68" customWidth="1"/>
    <col min="15364" max="15364" width="3.28515625" style="68" customWidth="1"/>
    <col min="15365" max="15365" width="13.7109375" style="68" customWidth="1"/>
    <col min="15366" max="15366" width="10.7109375" style="68" customWidth="1"/>
    <col min="15367" max="15367" width="6.28515625" style="68" customWidth="1"/>
    <col min="15368" max="15368" width="17.85546875" style="68" customWidth="1"/>
    <col min="15369" max="15369" width="11.140625" style="68" customWidth="1"/>
    <col min="15370" max="15371" width="10.7109375" style="68" customWidth="1"/>
    <col min="15372" max="15616" width="10.7109375" style="68"/>
    <col min="15617" max="15617" width="7.140625" style="68" customWidth="1"/>
    <col min="15618" max="15618" width="13.28515625" style="68" customWidth="1"/>
    <col min="15619" max="15619" width="15.28515625" style="68" customWidth="1"/>
    <col min="15620" max="15620" width="3.28515625" style="68" customWidth="1"/>
    <col min="15621" max="15621" width="13.7109375" style="68" customWidth="1"/>
    <col min="15622" max="15622" width="10.7109375" style="68" customWidth="1"/>
    <col min="15623" max="15623" width="6.28515625" style="68" customWidth="1"/>
    <col min="15624" max="15624" width="17.85546875" style="68" customWidth="1"/>
    <col min="15625" max="15625" width="11.140625" style="68" customWidth="1"/>
    <col min="15626" max="15627" width="10.7109375" style="68" customWidth="1"/>
    <col min="15628" max="15872" width="10.7109375" style="68"/>
    <col min="15873" max="15873" width="7.140625" style="68" customWidth="1"/>
    <col min="15874" max="15874" width="13.28515625" style="68" customWidth="1"/>
    <col min="15875" max="15875" width="15.28515625" style="68" customWidth="1"/>
    <col min="15876" max="15876" width="3.28515625" style="68" customWidth="1"/>
    <col min="15877" max="15877" width="13.7109375" style="68" customWidth="1"/>
    <col min="15878" max="15878" width="10.7109375" style="68" customWidth="1"/>
    <col min="15879" max="15879" width="6.28515625" style="68" customWidth="1"/>
    <col min="15880" max="15880" width="17.85546875" style="68" customWidth="1"/>
    <col min="15881" max="15881" width="11.140625" style="68" customWidth="1"/>
    <col min="15882" max="15883" width="10.7109375" style="68" customWidth="1"/>
    <col min="15884" max="16128" width="10.7109375" style="68"/>
    <col min="16129" max="16129" width="7.140625" style="68" customWidth="1"/>
    <col min="16130" max="16130" width="13.28515625" style="68" customWidth="1"/>
    <col min="16131" max="16131" width="15.28515625" style="68" customWidth="1"/>
    <col min="16132" max="16132" width="3.28515625" style="68" customWidth="1"/>
    <col min="16133" max="16133" width="13.7109375" style="68" customWidth="1"/>
    <col min="16134" max="16134" width="10.7109375" style="68" customWidth="1"/>
    <col min="16135" max="16135" width="6.28515625" style="68" customWidth="1"/>
    <col min="16136" max="16136" width="17.85546875" style="68" customWidth="1"/>
    <col min="16137" max="16137" width="11.140625" style="68" customWidth="1"/>
    <col min="16138" max="16139" width="10.7109375" style="68" customWidth="1"/>
    <col min="16140" max="16384" width="10.7109375" style="68"/>
  </cols>
  <sheetData>
    <row r="1" spans="1:194" s="244" customFormat="1" ht="21.75" hidden="1" customHeight="1" outlineLevel="1" x14ac:dyDescent="0.25">
      <c r="A1" s="244" t="s">
        <v>17</v>
      </c>
      <c r="B1" s="51" t="str">
        <f>CONCATENATE(A97,"  ",A99)</f>
        <v xml:space="preserve"> рублей  00 коп.</v>
      </c>
      <c r="C1" s="51"/>
      <c r="D1" s="51"/>
      <c r="E1" s="51"/>
      <c r="F1" s="51"/>
      <c r="G1" s="51"/>
      <c r="H1" s="51"/>
      <c r="I1" s="51"/>
      <c r="J1" s="52"/>
    </row>
    <row r="2" spans="1:194" s="244" customFormat="1" ht="15.2" hidden="1" customHeight="1" outlineLevel="1" collapsed="1" x14ac:dyDescent="0.25">
      <c r="A2" s="244" t="s">
        <v>85</v>
      </c>
      <c r="C2" s="53"/>
      <c r="E2" s="54" t="s">
        <v>86</v>
      </c>
      <c r="H2" s="55"/>
      <c r="J2" s="52"/>
    </row>
    <row r="3" spans="1:194" s="56" customFormat="1" ht="10.5" hidden="1" customHeight="1" outlineLevel="1" x14ac:dyDescent="0.15">
      <c r="C3" s="57" t="s">
        <v>18</v>
      </c>
      <c r="D3" s="58"/>
      <c r="E3" s="59" t="s">
        <v>19</v>
      </c>
      <c r="H3" s="60"/>
      <c r="J3" s="61"/>
    </row>
    <row r="4" spans="1:194" s="244" customFormat="1" ht="15.2" hidden="1" customHeight="1" outlineLevel="1" x14ac:dyDescent="0.25">
      <c r="A4" s="244" t="s">
        <v>89</v>
      </c>
      <c r="C4" s="53"/>
      <c r="E4" s="54" t="s">
        <v>90</v>
      </c>
      <c r="H4" s="55"/>
      <c r="J4" s="52"/>
    </row>
    <row r="5" spans="1:194" s="63" customFormat="1" ht="24.75" hidden="1" customHeight="1" outlineLevel="1" x14ac:dyDescent="0.2">
      <c r="A5" s="62"/>
      <c r="C5" s="64" t="s">
        <v>18</v>
      </c>
      <c r="D5" s="58"/>
      <c r="E5" s="59" t="s">
        <v>19</v>
      </c>
      <c r="F5" s="56"/>
      <c r="H5" s="60"/>
      <c r="J5" s="65"/>
    </row>
    <row r="6" spans="1:194" s="244" customFormat="1" ht="16.5" customHeight="1" collapsed="1" x14ac:dyDescent="0.3">
      <c r="E6" s="66" t="s">
        <v>20</v>
      </c>
      <c r="F6" s="53"/>
      <c r="I6" s="67" t="s">
        <v>21</v>
      </c>
      <c r="J6" s="52"/>
    </row>
    <row r="7" spans="1:194" ht="18" customHeight="1" x14ac:dyDescent="0.25">
      <c r="B7" s="406" t="s">
        <v>121</v>
      </c>
      <c r="C7" s="406"/>
      <c r="D7" s="406"/>
      <c r="E7" s="406"/>
      <c r="F7" s="406"/>
      <c r="G7" s="406"/>
      <c r="H7" s="71" t="s">
        <v>22</v>
      </c>
      <c r="I7" s="72" t="s">
        <v>23</v>
      </c>
      <c r="J7" s="73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244" customFormat="1" ht="23.25" customHeight="1" x14ac:dyDescent="0.25">
      <c r="B8" s="74" t="s">
        <v>9</v>
      </c>
      <c r="C8" s="408"/>
      <c r="D8" s="408"/>
      <c r="E8" s="408"/>
      <c r="F8" s="408"/>
      <c r="G8" s="75" t="s">
        <v>118</v>
      </c>
      <c r="H8" s="71" t="s">
        <v>24</v>
      </c>
      <c r="I8" s="159"/>
      <c r="J8" s="52"/>
    </row>
    <row r="9" spans="1:194" s="81" customFormat="1" ht="26.25" customHeight="1" x14ac:dyDescent="0.25">
      <c r="A9" s="409" t="s">
        <v>25</v>
      </c>
      <c r="B9" s="409"/>
      <c r="C9" s="76" t="s">
        <v>26</v>
      </c>
      <c r="D9" s="77"/>
      <c r="E9" s="78"/>
      <c r="F9" s="78"/>
      <c r="G9" s="78"/>
      <c r="H9" s="71" t="s">
        <v>27</v>
      </c>
      <c r="I9" s="79" t="s">
        <v>28</v>
      </c>
      <c r="J9" s="80"/>
    </row>
    <row r="10" spans="1:194" s="244" customFormat="1" ht="13.5" customHeight="1" x14ac:dyDescent="0.2">
      <c r="A10" s="82" t="s">
        <v>29</v>
      </c>
      <c r="C10" s="410" t="s">
        <v>122</v>
      </c>
      <c r="D10" s="410"/>
      <c r="E10" s="410"/>
      <c r="F10" s="410"/>
      <c r="G10" s="410"/>
      <c r="H10" s="74" t="s">
        <v>30</v>
      </c>
      <c r="I10" s="83"/>
      <c r="J10" s="52"/>
    </row>
    <row r="11" spans="1:194" s="81" customFormat="1" ht="12" customHeight="1" x14ac:dyDescent="0.3">
      <c r="A11" s="84" t="s">
        <v>31</v>
      </c>
      <c r="B11" s="85"/>
      <c r="C11" s="77"/>
      <c r="D11" s="86"/>
      <c r="E11" s="87"/>
      <c r="F11" s="88"/>
      <c r="G11" s="87"/>
      <c r="H11" s="74" t="s">
        <v>32</v>
      </c>
      <c r="I11" s="83"/>
      <c r="J11" s="80"/>
    </row>
    <row r="12" spans="1:194" s="81" customFormat="1" ht="12" customHeight="1" x14ac:dyDescent="0.25">
      <c r="A12" s="84" t="s">
        <v>33</v>
      </c>
      <c r="B12" s="85"/>
      <c r="C12" s="89"/>
      <c r="D12" s="90"/>
      <c r="E12" s="90"/>
      <c r="F12" s="90"/>
      <c r="G12" s="90"/>
      <c r="H12" s="74" t="s">
        <v>34</v>
      </c>
      <c r="I12" s="83"/>
      <c r="J12" s="80"/>
    </row>
    <row r="13" spans="1:194" s="81" customFormat="1" ht="12" customHeight="1" x14ac:dyDescent="0.25">
      <c r="A13" s="91" t="s">
        <v>35</v>
      </c>
      <c r="B13" s="85"/>
      <c r="C13" s="89"/>
      <c r="D13" s="90"/>
      <c r="E13" s="90"/>
      <c r="F13" s="90"/>
      <c r="G13" s="90"/>
      <c r="H13" s="74" t="s">
        <v>36</v>
      </c>
      <c r="I13" s="83"/>
      <c r="J13" s="80"/>
    </row>
    <row r="14" spans="1:194" ht="12" customHeight="1" x14ac:dyDescent="0.2">
      <c r="A14" s="84" t="s">
        <v>37</v>
      </c>
      <c r="H14" s="74" t="s">
        <v>38</v>
      </c>
      <c r="I14" s="79" t="s">
        <v>39</v>
      </c>
      <c r="J14" s="73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ht="12" customHeight="1" x14ac:dyDescent="0.2">
      <c r="A15" s="84" t="s">
        <v>40</v>
      </c>
      <c r="C15" s="92" t="s">
        <v>41</v>
      </c>
      <c r="E15" s="93"/>
      <c r="F15" s="93"/>
      <c r="G15" s="93"/>
      <c r="I15" s="94"/>
    </row>
    <row r="16" spans="1:194" s="98" customFormat="1" ht="28.5" customHeight="1" x14ac:dyDescent="0.2">
      <c r="A16" s="241" t="s">
        <v>1</v>
      </c>
      <c r="B16" s="411" t="s">
        <v>12</v>
      </c>
      <c r="C16" s="411"/>
      <c r="D16" s="411"/>
      <c r="E16" s="411"/>
      <c r="F16" s="218" t="s">
        <v>2</v>
      </c>
      <c r="G16" s="412" t="s">
        <v>42</v>
      </c>
      <c r="H16" s="412"/>
      <c r="I16" s="412"/>
      <c r="J16" s="96"/>
      <c r="K16" s="97"/>
    </row>
    <row r="17" spans="1:11" s="101" customFormat="1" ht="10.5" customHeight="1" x14ac:dyDescent="0.2">
      <c r="A17" s="240">
        <v>1</v>
      </c>
      <c r="B17" s="407">
        <v>2</v>
      </c>
      <c r="C17" s="407"/>
      <c r="D17" s="407"/>
      <c r="E17" s="407"/>
      <c r="F17" s="240">
        <v>3</v>
      </c>
      <c r="G17" s="407">
        <v>4</v>
      </c>
      <c r="H17" s="407"/>
      <c r="I17" s="407"/>
      <c r="J17" s="100"/>
    </row>
    <row r="18" spans="1:11" s="101" customFormat="1" ht="20.25" customHeight="1" x14ac:dyDescent="0.2">
      <c r="A18" s="223">
        <v>1</v>
      </c>
      <c r="B18" s="443"/>
      <c r="C18" s="444"/>
      <c r="D18" s="444"/>
      <c r="E18" s="445"/>
      <c r="F18" s="223" t="s">
        <v>84</v>
      </c>
      <c r="G18" s="448"/>
      <c r="H18" s="449"/>
      <c r="I18" s="450"/>
      <c r="J18" s="235"/>
    </row>
    <row r="19" spans="1:11" s="104" customFormat="1" ht="18" customHeight="1" outlineLevel="1" x14ac:dyDescent="0.25">
      <c r="A19" s="102">
        <v>2</v>
      </c>
      <c r="B19" s="404"/>
      <c r="C19" s="404"/>
      <c r="D19" s="404"/>
      <c r="E19" s="404"/>
      <c r="F19" s="132" t="s">
        <v>109</v>
      </c>
      <c r="G19" s="448"/>
      <c r="H19" s="449"/>
      <c r="I19" s="450"/>
      <c r="J19" s="103"/>
      <c r="K19" s="105"/>
    </row>
    <row r="20" spans="1:11" s="104" customFormat="1" ht="18" customHeight="1" outlineLevel="1" x14ac:dyDescent="0.25">
      <c r="A20" s="102">
        <v>3</v>
      </c>
      <c r="B20" s="404"/>
      <c r="C20" s="404"/>
      <c r="D20" s="404"/>
      <c r="E20" s="404"/>
      <c r="F20" s="132" t="s">
        <v>114</v>
      </c>
      <c r="G20" s="448"/>
      <c r="H20" s="449"/>
      <c r="I20" s="450"/>
      <c r="J20" s="95"/>
      <c r="K20" s="105"/>
    </row>
    <row r="21" spans="1:11" s="104" customFormat="1" ht="18" customHeight="1" outlineLevel="1" collapsed="1" x14ac:dyDescent="0.25">
      <c r="A21" s="223">
        <v>4</v>
      </c>
      <c r="B21" s="404"/>
      <c r="C21" s="404"/>
      <c r="D21" s="404"/>
      <c r="E21" s="404"/>
      <c r="F21" s="132" t="s">
        <v>116</v>
      </c>
      <c r="G21" s="448"/>
      <c r="H21" s="449"/>
      <c r="I21" s="450"/>
      <c r="J21" s="95"/>
      <c r="K21" s="105"/>
    </row>
    <row r="22" spans="1:11" s="104" customFormat="1" ht="18" customHeight="1" outlineLevel="1" collapsed="1" x14ac:dyDescent="0.25">
      <c r="A22" s="102">
        <v>5</v>
      </c>
      <c r="B22" s="404"/>
      <c r="C22" s="404"/>
      <c r="D22" s="404"/>
      <c r="E22" s="404"/>
      <c r="F22" s="132" t="s">
        <v>110</v>
      </c>
      <c r="G22" s="448"/>
      <c r="H22" s="449"/>
      <c r="I22" s="450"/>
      <c r="J22" s="103"/>
      <c r="K22" s="105"/>
    </row>
    <row r="23" spans="1:11" s="104" customFormat="1" ht="18" customHeight="1" outlineLevel="1" collapsed="1" x14ac:dyDescent="0.25">
      <c r="A23" s="102">
        <v>6</v>
      </c>
      <c r="B23" s="404"/>
      <c r="C23" s="404"/>
      <c r="D23" s="404"/>
      <c r="E23" s="404"/>
      <c r="F23" s="132" t="s">
        <v>108</v>
      </c>
      <c r="G23" s="448"/>
      <c r="H23" s="449"/>
      <c r="I23" s="450"/>
      <c r="J23" s="103"/>
      <c r="K23" s="105"/>
    </row>
    <row r="24" spans="1:11" s="104" customFormat="1" ht="18" customHeight="1" outlineLevel="1" x14ac:dyDescent="0.25">
      <c r="A24" s="223">
        <v>7</v>
      </c>
      <c r="B24" s="404"/>
      <c r="C24" s="404"/>
      <c r="D24" s="404"/>
      <c r="E24" s="404"/>
      <c r="F24" s="132" t="s">
        <v>112</v>
      </c>
      <c r="G24" s="448"/>
      <c r="H24" s="449"/>
      <c r="I24" s="450"/>
      <c r="J24" s="103"/>
      <c r="K24" s="105"/>
    </row>
    <row r="25" spans="1:11" s="104" customFormat="1" ht="18" customHeight="1" outlineLevel="1" x14ac:dyDescent="0.25">
      <c r="A25" s="102">
        <v>8</v>
      </c>
      <c r="B25" s="404"/>
      <c r="C25" s="404"/>
      <c r="D25" s="404"/>
      <c r="E25" s="404"/>
      <c r="F25" s="132" t="s">
        <v>112</v>
      </c>
      <c r="G25" s="448"/>
      <c r="H25" s="449"/>
      <c r="I25" s="450"/>
      <c r="J25" s="103"/>
      <c r="K25" s="105"/>
    </row>
    <row r="26" spans="1:11" s="104" customFormat="1" ht="18" customHeight="1" outlineLevel="1" x14ac:dyDescent="0.25">
      <c r="A26" s="102">
        <v>9</v>
      </c>
      <c r="B26" s="404"/>
      <c r="C26" s="404"/>
      <c r="D26" s="404"/>
      <c r="E26" s="404"/>
      <c r="F26" s="132" t="s">
        <v>119</v>
      </c>
      <c r="G26" s="448"/>
      <c r="H26" s="449"/>
      <c r="I26" s="450"/>
      <c r="J26" s="103"/>
      <c r="K26" s="105"/>
    </row>
    <row r="27" spans="1:11" s="104" customFormat="1" ht="18" customHeight="1" outlineLevel="1" x14ac:dyDescent="0.25">
      <c r="A27" s="223">
        <v>10</v>
      </c>
      <c r="B27" s="404"/>
      <c r="C27" s="404"/>
      <c r="D27" s="404"/>
      <c r="E27" s="404"/>
      <c r="F27" s="132" t="s">
        <v>112</v>
      </c>
      <c r="G27" s="448"/>
      <c r="H27" s="449"/>
      <c r="I27" s="450"/>
      <c r="J27" s="103"/>
      <c r="K27" s="105"/>
    </row>
    <row r="28" spans="1:11" s="104" customFormat="1" ht="18" customHeight="1" outlineLevel="1" x14ac:dyDescent="0.25">
      <c r="A28" s="102">
        <v>11</v>
      </c>
      <c r="B28" s="404"/>
      <c r="C28" s="404"/>
      <c r="D28" s="404"/>
      <c r="E28" s="404"/>
      <c r="F28" s="132" t="s">
        <v>110</v>
      </c>
      <c r="G28" s="448"/>
      <c r="H28" s="449"/>
      <c r="I28" s="450"/>
      <c r="J28" s="103"/>
      <c r="K28" s="105"/>
    </row>
    <row r="29" spans="1:11" s="104" customFormat="1" ht="18" customHeight="1" outlineLevel="1" x14ac:dyDescent="0.25">
      <c r="A29" s="102">
        <v>12</v>
      </c>
      <c r="B29" s="404"/>
      <c r="C29" s="404"/>
      <c r="D29" s="404"/>
      <c r="E29" s="404"/>
      <c r="F29" s="132" t="s">
        <v>114</v>
      </c>
      <c r="G29" s="448"/>
      <c r="H29" s="449"/>
      <c r="I29" s="450"/>
      <c r="J29" s="103"/>
      <c r="K29" s="105"/>
    </row>
    <row r="30" spans="1:11" s="104" customFormat="1" ht="18" customHeight="1" outlineLevel="1" x14ac:dyDescent="0.25">
      <c r="A30" s="223">
        <v>13</v>
      </c>
      <c r="B30" s="404"/>
      <c r="C30" s="404"/>
      <c r="D30" s="404"/>
      <c r="E30" s="404"/>
      <c r="F30" s="132" t="s">
        <v>109</v>
      </c>
      <c r="G30" s="448"/>
      <c r="H30" s="449"/>
      <c r="I30" s="450"/>
      <c r="J30" s="95"/>
      <c r="K30" s="105"/>
    </row>
    <row r="31" spans="1:11" s="104" customFormat="1" ht="18" customHeight="1" outlineLevel="1" x14ac:dyDescent="0.25">
      <c r="A31" s="102">
        <v>14</v>
      </c>
      <c r="B31" s="404"/>
      <c r="C31" s="404"/>
      <c r="D31" s="404"/>
      <c r="E31" s="404"/>
      <c r="F31" s="132" t="s">
        <v>116</v>
      </c>
      <c r="G31" s="448"/>
      <c r="H31" s="449"/>
      <c r="I31" s="450"/>
      <c r="J31" s="95"/>
      <c r="K31" s="105"/>
    </row>
    <row r="32" spans="1:11" s="104" customFormat="1" ht="18" customHeight="1" outlineLevel="1" x14ac:dyDescent="0.25">
      <c r="A32" s="102">
        <v>15</v>
      </c>
      <c r="B32" s="404"/>
      <c r="C32" s="404"/>
      <c r="D32" s="404"/>
      <c r="E32" s="404"/>
      <c r="F32" s="132" t="s">
        <v>95</v>
      </c>
      <c r="G32" s="448"/>
      <c r="H32" s="449"/>
      <c r="I32" s="450"/>
      <c r="J32" s="95"/>
      <c r="K32" s="105"/>
    </row>
    <row r="33" spans="1:11" s="104" customFormat="1" ht="18" customHeight="1" outlineLevel="1" x14ac:dyDescent="0.25">
      <c r="A33" s="223">
        <v>16</v>
      </c>
      <c r="B33" s="404"/>
      <c r="C33" s="404"/>
      <c r="D33" s="404"/>
      <c r="E33" s="404"/>
      <c r="F33" s="132" t="s">
        <v>100</v>
      </c>
      <c r="G33" s="448"/>
      <c r="H33" s="449"/>
      <c r="I33" s="450"/>
      <c r="J33" s="103"/>
      <c r="K33" s="105"/>
    </row>
    <row r="34" spans="1:11" s="104" customFormat="1" ht="17.25" customHeight="1" outlineLevel="1" x14ac:dyDescent="0.25">
      <c r="A34" s="102">
        <v>17</v>
      </c>
      <c r="B34" s="404"/>
      <c r="C34" s="404"/>
      <c r="D34" s="404"/>
      <c r="E34" s="404"/>
      <c r="F34" s="132" t="s">
        <v>111</v>
      </c>
      <c r="G34" s="448"/>
      <c r="H34" s="449"/>
      <c r="I34" s="450"/>
      <c r="J34" s="103"/>
      <c r="K34" s="105"/>
    </row>
    <row r="35" spans="1:11" s="104" customFormat="1" ht="17.25" hidden="1" customHeight="1" outlineLevel="1" x14ac:dyDescent="0.25">
      <c r="A35" s="102">
        <v>22</v>
      </c>
      <c r="B35" s="404"/>
      <c r="C35" s="404"/>
      <c r="D35" s="404"/>
      <c r="E35" s="404"/>
      <c r="F35" s="132"/>
      <c r="G35" s="448"/>
      <c r="H35" s="449"/>
      <c r="I35" s="450"/>
      <c r="J35" s="103"/>
      <c r="K35" s="105"/>
    </row>
    <row r="36" spans="1:11" s="104" customFormat="1" ht="17.25" hidden="1" customHeight="1" outlineLevel="1" x14ac:dyDescent="0.25">
      <c r="A36" s="102">
        <v>23</v>
      </c>
      <c r="B36" s="404"/>
      <c r="C36" s="404"/>
      <c r="D36" s="404"/>
      <c r="E36" s="404"/>
      <c r="F36" s="132"/>
      <c r="G36" s="448"/>
      <c r="H36" s="449"/>
      <c r="I36" s="450"/>
      <c r="J36" s="103"/>
      <c r="K36" s="105"/>
    </row>
    <row r="37" spans="1:11" s="104" customFormat="1" ht="17.25" hidden="1" customHeight="1" outlineLevel="1" x14ac:dyDescent="0.25">
      <c r="A37" s="102">
        <v>24</v>
      </c>
      <c r="B37" s="404"/>
      <c r="C37" s="404"/>
      <c r="D37" s="404"/>
      <c r="E37" s="404"/>
      <c r="F37" s="132"/>
      <c r="G37" s="448"/>
      <c r="H37" s="449"/>
      <c r="I37" s="450"/>
      <c r="J37" s="103"/>
      <c r="K37" s="105"/>
    </row>
    <row r="38" spans="1:11" s="104" customFormat="1" ht="18" hidden="1" customHeight="1" outlineLevel="1" x14ac:dyDescent="0.25">
      <c r="A38" s="102">
        <v>25</v>
      </c>
      <c r="B38" s="404"/>
      <c r="C38" s="404"/>
      <c r="D38" s="404"/>
      <c r="E38" s="404"/>
      <c r="F38" s="132"/>
      <c r="G38" s="448"/>
      <c r="H38" s="449"/>
      <c r="I38" s="450"/>
      <c r="J38" s="103"/>
      <c r="K38" s="105"/>
    </row>
    <row r="39" spans="1:11" s="104" customFormat="1" ht="18" hidden="1" customHeight="1" outlineLevel="1" x14ac:dyDescent="0.25">
      <c r="A39" s="102">
        <v>23</v>
      </c>
      <c r="B39" s="404">
        <f>'табель ОВЗ обед'!B30</f>
        <v>0</v>
      </c>
      <c r="C39" s="404"/>
      <c r="D39" s="404"/>
      <c r="E39" s="404"/>
      <c r="F39" s="132">
        <f>'табель ОВЗ обед'!C30</f>
        <v>0</v>
      </c>
      <c r="G39" s="399">
        <f>'табель ОВЗ завтрак'!AR30+'табель ОВЗ обед'!AO30</f>
        <v>0</v>
      </c>
      <c r="H39" s="400"/>
      <c r="I39" s="401"/>
      <c r="J39" s="103"/>
      <c r="K39" s="105"/>
    </row>
    <row r="40" spans="1:11" s="104" customFormat="1" ht="18" hidden="1" customHeight="1" outlineLevel="1" x14ac:dyDescent="0.25">
      <c r="A40" s="102">
        <v>24</v>
      </c>
      <c r="B40" s="404">
        <f>'табель ОВЗ обед'!B31</f>
        <v>0</v>
      </c>
      <c r="C40" s="404"/>
      <c r="D40" s="404"/>
      <c r="E40" s="404"/>
      <c r="F40" s="132">
        <f>'табель ОВЗ обед'!C31</f>
        <v>0</v>
      </c>
      <c r="G40" s="399">
        <f>'табель ОВЗ завтрак'!AR31+'табель ОВЗ обед'!AO31</f>
        <v>0</v>
      </c>
      <c r="H40" s="400"/>
      <c r="I40" s="401"/>
      <c r="J40" s="103"/>
      <c r="K40" s="105"/>
    </row>
    <row r="41" spans="1:11" s="104" customFormat="1" ht="18" hidden="1" customHeight="1" outlineLevel="1" x14ac:dyDescent="0.25">
      <c r="A41" s="102">
        <v>25</v>
      </c>
      <c r="B41" s="404">
        <f>'табель ОВЗ обед'!B32</f>
        <v>0</v>
      </c>
      <c r="C41" s="404"/>
      <c r="D41" s="404"/>
      <c r="E41" s="404"/>
      <c r="F41" s="132">
        <f>'табель ОВЗ обед'!C32</f>
        <v>0</v>
      </c>
      <c r="G41" s="399">
        <f>'табель ОВЗ завтрак'!AR32+'табель ОВЗ обед'!AO32</f>
        <v>0</v>
      </c>
      <c r="H41" s="400"/>
      <c r="I41" s="401"/>
      <c r="J41" s="103"/>
      <c r="K41" s="105"/>
    </row>
    <row r="42" spans="1:11" s="104" customFormat="1" ht="18" hidden="1" customHeight="1" outlineLevel="1" x14ac:dyDescent="0.25">
      <c r="A42" s="102">
        <v>26</v>
      </c>
      <c r="B42" s="404">
        <f>'табель ОВЗ обед'!B33</f>
        <v>0</v>
      </c>
      <c r="C42" s="404"/>
      <c r="D42" s="404"/>
      <c r="E42" s="404"/>
      <c r="F42" s="132">
        <f>'табель ОВЗ обед'!C33</f>
        <v>0</v>
      </c>
      <c r="G42" s="399">
        <f>'табель ОВЗ завтрак'!AR33+'табель ОВЗ обед'!AO33</f>
        <v>0</v>
      </c>
      <c r="H42" s="400"/>
      <c r="I42" s="401"/>
      <c r="J42" s="103"/>
      <c r="K42" s="105"/>
    </row>
    <row r="43" spans="1:11" s="104" customFormat="1" ht="18" hidden="1" customHeight="1" outlineLevel="1" x14ac:dyDescent="0.25">
      <c r="A43" s="102">
        <v>27</v>
      </c>
      <c r="B43" s="404">
        <f>'табель ОВЗ обед'!B34</f>
        <v>0</v>
      </c>
      <c r="C43" s="404"/>
      <c r="D43" s="404"/>
      <c r="E43" s="404"/>
      <c r="F43" s="132">
        <f>'табель ОВЗ обед'!C34</f>
        <v>0</v>
      </c>
      <c r="G43" s="399">
        <f>'табель ОВЗ завтрак'!AR34+'табель ОВЗ обед'!AO34</f>
        <v>0</v>
      </c>
      <c r="H43" s="400"/>
      <c r="I43" s="401"/>
      <c r="J43" s="95"/>
      <c r="K43" s="105"/>
    </row>
    <row r="44" spans="1:11" s="104" customFormat="1" ht="18" hidden="1" customHeight="1" outlineLevel="1" x14ac:dyDescent="0.25">
      <c r="A44" s="102">
        <v>28</v>
      </c>
      <c r="B44" s="404">
        <f>'табель ОВЗ обед'!B35</f>
        <v>0</v>
      </c>
      <c r="C44" s="404"/>
      <c r="D44" s="404"/>
      <c r="E44" s="404"/>
      <c r="F44" s="132">
        <f>'табель ОВЗ обед'!C35</f>
        <v>0</v>
      </c>
      <c r="G44" s="399">
        <f>'табель ОВЗ завтрак'!AR35+'табель ОВЗ обед'!AO35</f>
        <v>0</v>
      </c>
      <c r="H44" s="400"/>
      <c r="I44" s="401"/>
      <c r="J44" s="95"/>
      <c r="K44" s="105"/>
    </row>
    <row r="45" spans="1:11" s="104" customFormat="1" ht="18" hidden="1" customHeight="1" outlineLevel="1" x14ac:dyDescent="0.25">
      <c r="A45" s="102">
        <v>29</v>
      </c>
      <c r="B45" s="404">
        <f>'табель ОВЗ обед'!B36</f>
        <v>0</v>
      </c>
      <c r="C45" s="404"/>
      <c r="D45" s="404"/>
      <c r="E45" s="404"/>
      <c r="F45" s="132">
        <f>'табель ОВЗ обед'!C36</f>
        <v>0</v>
      </c>
      <c r="G45" s="399">
        <f>'табель ОВЗ завтрак'!AR36+'табель ОВЗ обед'!AO36</f>
        <v>0</v>
      </c>
      <c r="H45" s="400"/>
      <c r="I45" s="401"/>
      <c r="J45" s="95"/>
      <c r="K45" s="105"/>
    </row>
    <row r="46" spans="1:11" s="104" customFormat="1" ht="18" hidden="1" customHeight="1" outlineLevel="1" x14ac:dyDescent="0.25">
      <c r="A46" s="102">
        <v>30</v>
      </c>
      <c r="B46" s="404">
        <f>'табель ОВЗ обед'!B37</f>
        <v>0</v>
      </c>
      <c r="C46" s="404"/>
      <c r="D46" s="404"/>
      <c r="E46" s="404"/>
      <c r="F46" s="132">
        <f>'табель ОВЗ обед'!C37</f>
        <v>0</v>
      </c>
      <c r="G46" s="399">
        <f>'табель ОВЗ завтрак'!AR37+'табель ОВЗ обед'!AO37</f>
        <v>0</v>
      </c>
      <c r="H46" s="400"/>
      <c r="I46" s="401"/>
      <c r="J46" s="103"/>
      <c r="K46" s="105"/>
    </row>
    <row r="47" spans="1:11" s="104" customFormat="1" ht="17.25" hidden="1" customHeight="1" outlineLevel="1" x14ac:dyDescent="0.25">
      <c r="A47" s="102">
        <v>31</v>
      </c>
      <c r="B47" s="404">
        <f>'табель ОВЗ обед'!B38</f>
        <v>0</v>
      </c>
      <c r="C47" s="404"/>
      <c r="D47" s="404"/>
      <c r="E47" s="404"/>
      <c r="F47" s="132">
        <f>'табель ОВЗ обед'!C38</f>
        <v>0</v>
      </c>
      <c r="G47" s="399">
        <f>'табель ОВЗ завтрак'!AR38+'табель ОВЗ обед'!AO38</f>
        <v>0</v>
      </c>
      <c r="H47" s="400"/>
      <c r="I47" s="401"/>
      <c r="J47" s="103"/>
      <c r="K47" s="105"/>
    </row>
    <row r="48" spans="1:11" s="104" customFormat="1" ht="18" hidden="1" customHeight="1" outlineLevel="1" x14ac:dyDescent="0.25">
      <c r="A48" s="102">
        <v>32</v>
      </c>
      <c r="B48" s="404">
        <f>'табель ОВЗ обед'!B39</f>
        <v>0</v>
      </c>
      <c r="C48" s="404"/>
      <c r="D48" s="404"/>
      <c r="E48" s="404"/>
      <c r="F48" s="132">
        <f>'табель ОВЗ обед'!C39</f>
        <v>0</v>
      </c>
      <c r="G48" s="399">
        <f>'табель ОВЗ завтрак'!AR39+'табель ОВЗ обед'!AO39</f>
        <v>0</v>
      </c>
      <c r="H48" s="400"/>
      <c r="I48" s="401"/>
      <c r="J48" s="103"/>
      <c r="K48" s="105"/>
    </row>
    <row r="49" spans="1:11" s="104" customFormat="1" ht="18" hidden="1" customHeight="1" outlineLevel="1" x14ac:dyDescent="0.25">
      <c r="A49" s="102">
        <v>33</v>
      </c>
      <c r="B49" s="404">
        <f>'табель ОВЗ обед'!B40</f>
        <v>0</v>
      </c>
      <c r="C49" s="404"/>
      <c r="D49" s="404"/>
      <c r="E49" s="404"/>
      <c r="F49" s="132">
        <f>'табель ОВЗ обед'!C40</f>
        <v>0</v>
      </c>
      <c r="G49" s="399">
        <f>'табель ОВЗ завтрак'!AR40+'табель ОВЗ обед'!AO40</f>
        <v>0</v>
      </c>
      <c r="H49" s="400"/>
      <c r="I49" s="401"/>
      <c r="J49" s="103"/>
      <c r="K49" s="105"/>
    </row>
    <row r="50" spans="1:11" s="104" customFormat="1" ht="18" hidden="1" customHeight="1" outlineLevel="1" x14ac:dyDescent="0.25">
      <c r="A50" s="102">
        <v>34</v>
      </c>
      <c r="B50" s="404">
        <f>'табель ОВЗ обед'!B41</f>
        <v>0</v>
      </c>
      <c r="C50" s="404"/>
      <c r="D50" s="404"/>
      <c r="E50" s="404"/>
      <c r="F50" s="132">
        <f>'табель ОВЗ обед'!C41</f>
        <v>0</v>
      </c>
      <c r="G50" s="399">
        <f>'табель ОВЗ завтрак'!AR41+'табель ОВЗ обед'!AO41</f>
        <v>0</v>
      </c>
      <c r="H50" s="400"/>
      <c r="I50" s="401"/>
      <c r="J50" s="103"/>
      <c r="K50" s="105"/>
    </row>
    <row r="51" spans="1:11" s="104" customFormat="1" ht="18" hidden="1" customHeight="1" outlineLevel="1" x14ac:dyDescent="0.25">
      <c r="A51" s="102">
        <v>35</v>
      </c>
      <c r="B51" s="404">
        <f>'табель ОВЗ обед'!B42</f>
        <v>0</v>
      </c>
      <c r="C51" s="404"/>
      <c r="D51" s="404"/>
      <c r="E51" s="404"/>
      <c r="F51" s="132">
        <f>'табель ОВЗ обед'!C42</f>
        <v>0</v>
      </c>
      <c r="G51" s="399">
        <f>'табель ОВЗ завтрак'!AR42+'табель ОВЗ обед'!AO42</f>
        <v>0</v>
      </c>
      <c r="H51" s="400"/>
      <c r="I51" s="401"/>
      <c r="J51" s="103"/>
      <c r="K51" s="105"/>
    </row>
    <row r="52" spans="1:11" s="104" customFormat="1" ht="18" hidden="1" customHeight="1" x14ac:dyDescent="0.25">
      <c r="A52" s="102">
        <v>36</v>
      </c>
      <c r="B52" s="402">
        <f>'табель малоимущих'!B44</f>
        <v>0</v>
      </c>
      <c r="C52" s="402" t="s">
        <v>7</v>
      </c>
      <c r="D52" s="402" t="s">
        <v>7</v>
      </c>
      <c r="E52" s="402" t="s">
        <v>7</v>
      </c>
      <c r="F52" s="132">
        <f>'табель ОВЗ обед'!C44</f>
        <v>0</v>
      </c>
      <c r="G52" s="399">
        <v>0</v>
      </c>
      <c r="H52" s="400"/>
      <c r="I52" s="401"/>
      <c r="J52" s="103"/>
      <c r="K52" s="105"/>
    </row>
    <row r="53" spans="1:11" s="104" customFormat="1" ht="18" hidden="1" customHeight="1" x14ac:dyDescent="0.25">
      <c r="A53" s="102">
        <v>37</v>
      </c>
      <c r="B53" s="402">
        <f>'табель малоимущих'!B44</f>
        <v>0</v>
      </c>
      <c r="C53" s="402" t="s">
        <v>7</v>
      </c>
      <c r="D53" s="402" t="s">
        <v>7</v>
      </c>
      <c r="E53" s="402" t="s">
        <v>7</v>
      </c>
      <c r="F53" s="132">
        <f>'табель ОВЗ обед'!C45</f>
        <v>0</v>
      </c>
      <c r="G53" s="399">
        <v>0</v>
      </c>
      <c r="H53" s="400"/>
      <c r="I53" s="401"/>
      <c r="J53" s="103"/>
      <c r="K53" s="105"/>
    </row>
    <row r="54" spans="1:11" s="104" customFormat="1" ht="18" hidden="1" customHeight="1" x14ac:dyDescent="0.25">
      <c r="A54" s="102">
        <v>38</v>
      </c>
      <c r="B54" s="402">
        <f>'табель малоимущих'!B46</f>
        <v>0</v>
      </c>
      <c r="C54" s="402" t="s">
        <v>7</v>
      </c>
      <c r="D54" s="402" t="s">
        <v>7</v>
      </c>
      <c r="E54" s="402" t="s">
        <v>7</v>
      </c>
      <c r="F54" s="132">
        <f>'табель ОВЗ обед'!C46</f>
        <v>0</v>
      </c>
      <c r="G54" s="399">
        <f>'табель ОВЗ завтрак'!AR46+'табель ОВЗ обед'!AO46</f>
        <v>0</v>
      </c>
      <c r="H54" s="400"/>
      <c r="I54" s="401"/>
      <c r="J54" s="103"/>
      <c r="K54" s="105"/>
    </row>
    <row r="55" spans="1:11" s="104" customFormat="1" ht="18" hidden="1" customHeight="1" x14ac:dyDescent="0.25">
      <c r="A55" s="102">
        <v>39</v>
      </c>
      <c r="B55" s="402">
        <f>'табель малоимущих'!B45</f>
        <v>0</v>
      </c>
      <c r="C55" s="402" t="s">
        <v>7</v>
      </c>
      <c r="D55" s="402" t="s">
        <v>7</v>
      </c>
      <c r="E55" s="402" t="s">
        <v>7</v>
      </c>
      <c r="F55" s="132">
        <f>'табель ОВЗ обед'!C47</f>
        <v>0</v>
      </c>
      <c r="G55" s="399">
        <f>'табель ОВЗ завтрак'!AR47+'табель ОВЗ обед'!AO47</f>
        <v>0</v>
      </c>
      <c r="H55" s="400"/>
      <c r="I55" s="401"/>
      <c r="J55" s="103"/>
      <c r="K55" s="105"/>
    </row>
    <row r="56" spans="1:11" s="104" customFormat="1" ht="18" hidden="1" customHeight="1" x14ac:dyDescent="0.25">
      <c r="A56" s="102">
        <v>40</v>
      </c>
      <c r="B56" s="402">
        <f>'табель малоимущих'!B46</f>
        <v>0</v>
      </c>
      <c r="C56" s="402" t="s">
        <v>7</v>
      </c>
      <c r="D56" s="402" t="s">
        <v>7</v>
      </c>
      <c r="E56" s="402" t="s">
        <v>7</v>
      </c>
      <c r="F56" s="132">
        <f>'табель ОВЗ обед'!C48</f>
        <v>0</v>
      </c>
      <c r="G56" s="399">
        <f>'табель ОВЗ завтрак'!AR48+'табель ОВЗ обед'!AO48</f>
        <v>0</v>
      </c>
      <c r="H56" s="400"/>
      <c r="I56" s="401"/>
      <c r="J56" s="95"/>
      <c r="K56" s="105"/>
    </row>
    <row r="57" spans="1:11" s="104" customFormat="1" ht="18" hidden="1" customHeight="1" collapsed="1" x14ac:dyDescent="0.25">
      <c r="A57" s="102">
        <v>41</v>
      </c>
      <c r="B57" s="402">
        <f>'табель малоимущих'!B47</f>
        <v>0</v>
      </c>
      <c r="C57" s="402" t="s">
        <v>7</v>
      </c>
      <c r="D57" s="402" t="s">
        <v>7</v>
      </c>
      <c r="E57" s="402" t="s">
        <v>7</v>
      </c>
      <c r="F57" s="132">
        <f>'табель ОВЗ обед'!C49</f>
        <v>0</v>
      </c>
      <c r="G57" s="399">
        <f>'табель ОВЗ завтрак'!AR49+'табель ОВЗ обед'!AO49</f>
        <v>0</v>
      </c>
      <c r="H57" s="400"/>
      <c r="I57" s="401"/>
      <c r="J57" s="95"/>
      <c r="K57" s="105"/>
    </row>
    <row r="58" spans="1:11" s="104" customFormat="1" ht="18" hidden="1" customHeight="1" collapsed="1" x14ac:dyDescent="0.25">
      <c r="A58" s="102">
        <v>43</v>
      </c>
      <c r="B58" s="402">
        <f>'табель малоимущих'!B45</f>
        <v>0</v>
      </c>
      <c r="C58" s="402" t="s">
        <v>7</v>
      </c>
      <c r="D58" s="402" t="s">
        <v>7</v>
      </c>
      <c r="E58" s="402" t="s">
        <v>7</v>
      </c>
      <c r="F58" s="132">
        <f>'табель ОВЗ обед'!C51</f>
        <v>0</v>
      </c>
      <c r="G58" s="399">
        <f>'табель ОВЗ завтрак'!AR51+'табель ОВЗ обед'!AO51</f>
        <v>0</v>
      </c>
      <c r="H58" s="400"/>
      <c r="I58" s="401"/>
      <c r="J58" s="103"/>
      <c r="K58" s="105"/>
    </row>
    <row r="59" spans="1:11" s="104" customFormat="1" ht="18" hidden="1" customHeight="1" collapsed="1" x14ac:dyDescent="0.25">
      <c r="A59" s="102">
        <v>44</v>
      </c>
      <c r="B59" s="402">
        <f>'табель малоимущих'!B44</f>
        <v>0</v>
      </c>
      <c r="C59" s="403" t="s">
        <v>7</v>
      </c>
      <c r="D59" s="403" t="s">
        <v>7</v>
      </c>
      <c r="E59" s="403" t="s">
        <v>7</v>
      </c>
      <c r="F59" s="132">
        <f>'табель ОВЗ обед'!C52</f>
        <v>0</v>
      </c>
      <c r="G59" s="399">
        <f>'табель ОВЗ завтрак'!AR52+'табель ОВЗ обед'!AO52</f>
        <v>0</v>
      </c>
      <c r="H59" s="400"/>
      <c r="I59" s="401"/>
      <c r="J59" s="103"/>
      <c r="K59" s="105"/>
    </row>
    <row r="60" spans="1:11" s="104" customFormat="1" ht="18" hidden="1" customHeight="1" x14ac:dyDescent="0.25">
      <c r="A60" s="102">
        <v>45</v>
      </c>
      <c r="B60" s="402">
        <f>'табель малоимущих'!B45</f>
        <v>0</v>
      </c>
      <c r="C60" s="403" t="s">
        <v>7</v>
      </c>
      <c r="D60" s="403" t="s">
        <v>7</v>
      </c>
      <c r="E60" s="403" t="s">
        <v>7</v>
      </c>
      <c r="F60" s="132">
        <f>'табель ОВЗ обед'!C53</f>
        <v>0</v>
      </c>
      <c r="G60" s="399">
        <f>'табель ОВЗ завтрак'!AR53+'табель ОВЗ обед'!AO53</f>
        <v>0</v>
      </c>
      <c r="H60" s="400"/>
      <c r="I60" s="401"/>
      <c r="J60" s="95"/>
      <c r="K60" s="105"/>
    </row>
    <row r="61" spans="1:11" s="104" customFormat="1" ht="18" hidden="1" customHeight="1" x14ac:dyDescent="0.25">
      <c r="A61" s="102">
        <v>46</v>
      </c>
      <c r="B61" s="402">
        <f>'табель малоимущих'!B44</f>
        <v>0</v>
      </c>
      <c r="C61" s="403" t="s">
        <v>7</v>
      </c>
      <c r="D61" s="403" t="s">
        <v>7</v>
      </c>
      <c r="E61" s="403" t="s">
        <v>7</v>
      </c>
      <c r="F61" s="132">
        <f>'табель ОВЗ обед'!C54</f>
        <v>0</v>
      </c>
      <c r="G61" s="399">
        <f>'табель ОВЗ завтрак'!AR54+'табель ОВЗ обед'!AO54</f>
        <v>0</v>
      </c>
      <c r="H61" s="400"/>
      <c r="I61" s="401"/>
      <c r="J61" s="103"/>
      <c r="K61" s="105"/>
    </row>
    <row r="62" spans="1:11" s="104" customFormat="1" ht="18" hidden="1" customHeight="1" x14ac:dyDescent="0.25">
      <c r="A62" s="102">
        <v>47</v>
      </c>
      <c r="B62" s="402">
        <f>'табель малоимущих'!B45</f>
        <v>0</v>
      </c>
      <c r="C62" s="403" t="s">
        <v>7</v>
      </c>
      <c r="D62" s="403" t="s">
        <v>7</v>
      </c>
      <c r="E62" s="403" t="s">
        <v>7</v>
      </c>
      <c r="F62" s="132">
        <f>'табель ОВЗ обед'!C55</f>
        <v>0</v>
      </c>
      <c r="G62" s="399">
        <f>'табель ОВЗ завтрак'!AR55+'табель ОВЗ обед'!AO55</f>
        <v>0</v>
      </c>
      <c r="H62" s="400"/>
      <c r="I62" s="401"/>
      <c r="J62" s="103"/>
      <c r="K62" s="105"/>
    </row>
    <row r="63" spans="1:11" s="104" customFormat="1" ht="18" hidden="1" customHeight="1" x14ac:dyDescent="0.25">
      <c r="A63" s="102">
        <v>48</v>
      </c>
      <c r="B63" s="402">
        <f>'табель малоимущих'!B47</f>
        <v>0</v>
      </c>
      <c r="C63" s="403" t="s">
        <v>7</v>
      </c>
      <c r="D63" s="403" t="s">
        <v>7</v>
      </c>
      <c r="E63" s="403" t="s">
        <v>7</v>
      </c>
      <c r="F63" s="132">
        <f>'табель ОВЗ обед'!C56</f>
        <v>0</v>
      </c>
      <c r="G63" s="399">
        <f>'табель ОВЗ завтрак'!AR56+'табель ОВЗ обед'!AO56</f>
        <v>0</v>
      </c>
      <c r="H63" s="400"/>
      <c r="I63" s="401"/>
      <c r="J63" s="103"/>
      <c r="K63" s="105"/>
    </row>
    <row r="64" spans="1:11" s="104" customFormat="1" ht="18" hidden="1" customHeight="1" x14ac:dyDescent="0.25">
      <c r="A64" s="102">
        <v>49</v>
      </c>
      <c r="B64" s="402">
        <f>'табель малоимущих'!B48</f>
        <v>0</v>
      </c>
      <c r="C64" s="403" t="s">
        <v>7</v>
      </c>
      <c r="D64" s="403" t="s">
        <v>7</v>
      </c>
      <c r="E64" s="403" t="s">
        <v>7</v>
      </c>
      <c r="F64" s="132">
        <f>'табель ОВЗ обед'!C57</f>
        <v>0</v>
      </c>
      <c r="G64" s="399">
        <f>'табель ОВЗ завтрак'!AR57+'табель ОВЗ обед'!AO57</f>
        <v>0</v>
      </c>
      <c r="H64" s="400"/>
      <c r="I64" s="401"/>
      <c r="J64" s="103"/>
      <c r="K64" s="105"/>
    </row>
    <row r="65" spans="1:11" s="104" customFormat="1" ht="18" hidden="1" customHeight="1" x14ac:dyDescent="0.25">
      <c r="A65" s="102">
        <v>50</v>
      </c>
      <c r="B65" s="402">
        <f>'табель малоимущих'!B49</f>
        <v>0</v>
      </c>
      <c r="C65" s="403" t="s">
        <v>7</v>
      </c>
      <c r="D65" s="403" t="s">
        <v>7</v>
      </c>
      <c r="E65" s="403" t="s">
        <v>7</v>
      </c>
      <c r="F65" s="132">
        <f>'табель ОВЗ обед'!C58</f>
        <v>0</v>
      </c>
      <c r="G65" s="399">
        <f>'табель ОВЗ завтрак'!AR58+'табель ОВЗ обед'!AO58</f>
        <v>0</v>
      </c>
      <c r="H65" s="400"/>
      <c r="I65" s="401"/>
      <c r="J65" s="103"/>
      <c r="K65" s="105"/>
    </row>
    <row r="66" spans="1:11" s="104" customFormat="1" ht="18" hidden="1" customHeight="1" x14ac:dyDescent="0.25">
      <c r="A66" s="102">
        <v>51</v>
      </c>
      <c r="B66" s="402">
        <f>'табель малоимущих'!B50</f>
        <v>0</v>
      </c>
      <c r="C66" s="403" t="s">
        <v>7</v>
      </c>
      <c r="D66" s="403" t="s">
        <v>7</v>
      </c>
      <c r="E66" s="403" t="s">
        <v>7</v>
      </c>
      <c r="F66" s="132">
        <f>'табель ОВЗ обед'!C59</f>
        <v>0</v>
      </c>
      <c r="G66" s="399">
        <f>'табель ОВЗ завтрак'!AR59+'табель ОВЗ обед'!AO59</f>
        <v>0</v>
      </c>
      <c r="H66" s="400"/>
      <c r="I66" s="401"/>
      <c r="J66" s="103"/>
      <c r="K66" s="105"/>
    </row>
    <row r="67" spans="1:11" s="104" customFormat="1" ht="18" hidden="1" customHeight="1" x14ac:dyDescent="0.25">
      <c r="A67" s="102">
        <v>52</v>
      </c>
      <c r="B67" s="402">
        <f>'табель малоимущих'!B51</f>
        <v>0</v>
      </c>
      <c r="C67" s="403" t="s">
        <v>7</v>
      </c>
      <c r="D67" s="403" t="s">
        <v>7</v>
      </c>
      <c r="E67" s="403" t="s">
        <v>7</v>
      </c>
      <c r="F67" s="132">
        <f>'табель ОВЗ обед'!C60</f>
        <v>0</v>
      </c>
      <c r="G67" s="399">
        <f>'табель ОВЗ завтрак'!AR60+'табель ОВЗ обед'!AO60</f>
        <v>0</v>
      </c>
      <c r="H67" s="400"/>
      <c r="I67" s="401"/>
      <c r="J67" s="103"/>
      <c r="K67" s="105"/>
    </row>
    <row r="68" spans="1:11" s="104" customFormat="1" ht="18" hidden="1" customHeight="1" x14ac:dyDescent="0.25">
      <c r="A68" s="102">
        <v>53</v>
      </c>
      <c r="B68" s="402">
        <f>'табель малоимущих'!B52</f>
        <v>0</v>
      </c>
      <c r="C68" s="403" t="s">
        <v>7</v>
      </c>
      <c r="D68" s="403" t="s">
        <v>7</v>
      </c>
      <c r="E68" s="403" t="s">
        <v>7</v>
      </c>
      <c r="F68" s="132">
        <f>'табель ОВЗ обед'!C61</f>
        <v>0</v>
      </c>
      <c r="G68" s="399">
        <f>'табель ОВЗ завтрак'!AR61+'табель ОВЗ обед'!AO61</f>
        <v>0</v>
      </c>
      <c r="H68" s="400"/>
      <c r="I68" s="401"/>
      <c r="J68" s="103"/>
      <c r="K68" s="105"/>
    </row>
    <row r="69" spans="1:11" s="104" customFormat="1" ht="18" hidden="1" customHeight="1" x14ac:dyDescent="0.25">
      <c r="A69" s="102">
        <v>54</v>
      </c>
      <c r="B69" s="402">
        <f>'табель малоимущих'!B53</f>
        <v>0</v>
      </c>
      <c r="C69" s="403" t="s">
        <v>7</v>
      </c>
      <c r="D69" s="403" t="s">
        <v>7</v>
      </c>
      <c r="E69" s="403" t="s">
        <v>7</v>
      </c>
      <c r="F69" s="132">
        <f>'табель ОВЗ обед'!C62</f>
        <v>0</v>
      </c>
      <c r="G69" s="399">
        <f>'табель ОВЗ завтрак'!AR62+'табель ОВЗ обед'!AO62</f>
        <v>0</v>
      </c>
      <c r="H69" s="400"/>
      <c r="I69" s="401"/>
      <c r="J69" s="103"/>
      <c r="K69" s="105"/>
    </row>
    <row r="70" spans="1:11" s="104" customFormat="1" ht="18" hidden="1" customHeight="1" x14ac:dyDescent="0.25">
      <c r="A70" s="102">
        <v>55</v>
      </c>
      <c r="B70" s="402">
        <f>'табель малоимущих'!B54</f>
        <v>0</v>
      </c>
      <c r="C70" s="403" t="s">
        <v>7</v>
      </c>
      <c r="D70" s="403" t="s">
        <v>7</v>
      </c>
      <c r="E70" s="403" t="s">
        <v>7</v>
      </c>
      <c r="F70" s="132">
        <f>'табель ОВЗ обед'!C63</f>
        <v>0</v>
      </c>
      <c r="G70" s="399">
        <f>'табель ОВЗ завтрак'!AR63+'табель ОВЗ обед'!AO63</f>
        <v>0</v>
      </c>
      <c r="H70" s="400"/>
      <c r="I70" s="401"/>
      <c r="J70" s="103"/>
      <c r="K70" s="105"/>
    </row>
    <row r="71" spans="1:11" s="104" customFormat="1" ht="18" hidden="1" customHeight="1" x14ac:dyDescent="0.25">
      <c r="A71" s="102">
        <v>56</v>
      </c>
      <c r="B71" s="402">
        <f>'табель малоимущих'!B55</f>
        <v>0</v>
      </c>
      <c r="C71" s="403" t="s">
        <v>7</v>
      </c>
      <c r="D71" s="403" t="s">
        <v>7</v>
      </c>
      <c r="E71" s="403" t="s">
        <v>7</v>
      </c>
      <c r="F71" s="132">
        <f>'табель ОВЗ обед'!C64</f>
        <v>0</v>
      </c>
      <c r="G71" s="399">
        <f>'табель ОВЗ завтрак'!AR64+'табель ОВЗ обед'!AO64</f>
        <v>0</v>
      </c>
      <c r="H71" s="400"/>
      <c r="I71" s="401"/>
      <c r="J71" s="103"/>
      <c r="K71" s="105"/>
    </row>
    <row r="72" spans="1:11" s="104" customFormat="1" ht="18" hidden="1" customHeight="1" x14ac:dyDescent="0.25">
      <c r="A72" s="102">
        <v>57</v>
      </c>
      <c r="B72" s="402">
        <f>'табель малоимущих'!B56</f>
        <v>0</v>
      </c>
      <c r="C72" s="403" t="s">
        <v>7</v>
      </c>
      <c r="D72" s="403" t="s">
        <v>7</v>
      </c>
      <c r="E72" s="403" t="s">
        <v>7</v>
      </c>
      <c r="F72" s="132">
        <f>'табель ОВЗ обед'!C65</f>
        <v>0</v>
      </c>
      <c r="G72" s="399">
        <f>'табель ОВЗ завтрак'!AR65+'табель ОВЗ обед'!AO65</f>
        <v>0</v>
      </c>
      <c r="H72" s="400"/>
      <c r="I72" s="401"/>
      <c r="J72" s="103"/>
      <c r="K72" s="105"/>
    </row>
    <row r="73" spans="1:11" s="104" customFormat="1" ht="22.5" hidden="1" customHeight="1" x14ac:dyDescent="0.25">
      <c r="A73" s="102">
        <v>58</v>
      </c>
      <c r="B73" s="402">
        <f>'табель малоимущих'!B57</f>
        <v>0</v>
      </c>
      <c r="C73" s="403" t="s">
        <v>7</v>
      </c>
      <c r="D73" s="403" t="s">
        <v>7</v>
      </c>
      <c r="E73" s="403" t="s">
        <v>7</v>
      </c>
      <c r="F73" s="132">
        <f>'табель ОВЗ обед'!C66</f>
        <v>0</v>
      </c>
      <c r="G73" s="399">
        <f>'табель ОВЗ завтрак'!AR66+'табель ОВЗ обед'!AO66</f>
        <v>0</v>
      </c>
      <c r="H73" s="400"/>
      <c r="I73" s="401"/>
      <c r="J73" s="103"/>
      <c r="K73" s="105"/>
    </row>
    <row r="74" spans="1:11" s="104" customFormat="1" ht="18" hidden="1" customHeight="1" x14ac:dyDescent="0.25">
      <c r="A74" s="102">
        <v>59</v>
      </c>
      <c r="B74" s="402">
        <f>'табель малоимущих'!B45</f>
        <v>0</v>
      </c>
      <c r="C74" s="403" t="s">
        <v>7</v>
      </c>
      <c r="D74" s="403" t="s">
        <v>7</v>
      </c>
      <c r="E74" s="403" t="s">
        <v>7</v>
      </c>
      <c r="F74" s="132">
        <f>'табель ОВЗ обед'!C67</f>
        <v>0</v>
      </c>
      <c r="G74" s="399">
        <f>'табель ОВЗ завтрак'!AR67+'табель ОВЗ обед'!AO67</f>
        <v>0</v>
      </c>
      <c r="H74" s="400"/>
      <c r="I74" s="401"/>
      <c r="J74" s="103"/>
      <c r="K74" s="105"/>
    </row>
    <row r="75" spans="1:11" s="104" customFormat="1" ht="18" hidden="1" customHeight="1" x14ac:dyDescent="0.25">
      <c r="A75" s="102">
        <v>63</v>
      </c>
      <c r="B75" s="402"/>
      <c r="C75" s="402"/>
      <c r="D75" s="402"/>
      <c r="E75" s="402"/>
      <c r="F75" s="132">
        <f>'табель ОВЗ обед'!C71</f>
        <v>0</v>
      </c>
      <c r="G75" s="399">
        <f>'табель ОВЗ завтрак'!AR71+'табель ОВЗ обед'!AO71</f>
        <v>0</v>
      </c>
      <c r="H75" s="400"/>
      <c r="I75" s="401"/>
      <c r="J75" s="103"/>
      <c r="K75" s="105"/>
    </row>
    <row r="76" spans="1:11" s="104" customFormat="1" ht="18" hidden="1" customHeight="1" x14ac:dyDescent="0.25">
      <c r="A76" s="102">
        <v>64</v>
      </c>
      <c r="B76" s="402"/>
      <c r="C76" s="402"/>
      <c r="D76" s="402"/>
      <c r="E76" s="402"/>
      <c r="F76" s="132">
        <f>'табель ОВЗ обед'!C72</f>
        <v>0</v>
      </c>
      <c r="G76" s="399">
        <f>'табель ОВЗ завтрак'!AR72+'табель ОВЗ обед'!AO72</f>
        <v>0</v>
      </c>
      <c r="H76" s="400"/>
      <c r="I76" s="401"/>
      <c r="J76" s="103"/>
      <c r="K76" s="105"/>
    </row>
    <row r="77" spans="1:11" s="104" customFormat="1" ht="18" hidden="1" customHeight="1" x14ac:dyDescent="0.25">
      <c r="A77" s="102">
        <v>65</v>
      </c>
      <c r="B77" s="402"/>
      <c r="C77" s="402"/>
      <c r="D77" s="402"/>
      <c r="E77" s="402"/>
      <c r="F77" s="132">
        <f>'табель ОВЗ обед'!C73</f>
        <v>0</v>
      </c>
      <c r="G77" s="399">
        <f>'табель ОВЗ завтрак'!AR73+'табель ОВЗ обед'!AO73</f>
        <v>0</v>
      </c>
      <c r="H77" s="400"/>
      <c r="I77" s="401"/>
      <c r="J77" s="103"/>
      <c r="K77" s="105"/>
    </row>
    <row r="78" spans="1:11" s="104" customFormat="1" ht="15" hidden="1" customHeight="1" x14ac:dyDescent="0.25">
      <c r="A78" s="102">
        <v>66</v>
      </c>
      <c r="B78" s="402">
        <f>'табель малоимущих'!B44</f>
        <v>0</v>
      </c>
      <c r="C78" s="403" t="s">
        <v>7</v>
      </c>
      <c r="D78" s="403" t="s">
        <v>7</v>
      </c>
      <c r="E78" s="403" t="s">
        <v>7</v>
      </c>
      <c r="F78" s="132">
        <f>'табель ОВЗ обед'!C74</f>
        <v>0</v>
      </c>
      <c r="G78" s="399">
        <f>'табель ОВЗ завтрак'!AR74+'табель ОВЗ обед'!AO74</f>
        <v>0</v>
      </c>
      <c r="H78" s="400"/>
      <c r="I78" s="401"/>
      <c r="J78" s="103"/>
      <c r="K78" s="105"/>
    </row>
    <row r="79" spans="1:11" s="104" customFormat="1" ht="18" hidden="1" customHeight="1" x14ac:dyDescent="0.25">
      <c r="A79" s="102">
        <v>67</v>
      </c>
      <c r="B79" s="402">
        <f>'табель малоимущих'!B45</f>
        <v>0</v>
      </c>
      <c r="C79" s="403" t="s">
        <v>7</v>
      </c>
      <c r="D79" s="403" t="s">
        <v>7</v>
      </c>
      <c r="E79" s="403" t="s">
        <v>7</v>
      </c>
      <c r="F79" s="132">
        <f>'табель ОВЗ обед'!C75</f>
        <v>0</v>
      </c>
      <c r="G79" s="399">
        <f>'табель ОВЗ завтрак'!AR75+'табель ОВЗ обед'!AO75</f>
        <v>0</v>
      </c>
      <c r="H79" s="400"/>
      <c r="I79" s="401"/>
      <c r="J79" s="103"/>
      <c r="K79" s="105"/>
    </row>
    <row r="80" spans="1:11" s="104" customFormat="1" ht="18" hidden="1" customHeight="1" x14ac:dyDescent="0.25">
      <c r="A80" s="102">
        <v>68</v>
      </c>
      <c r="B80" s="402">
        <f>'табель малоимущих'!B46</f>
        <v>0</v>
      </c>
      <c r="C80" s="403" t="s">
        <v>7</v>
      </c>
      <c r="D80" s="403" t="s">
        <v>7</v>
      </c>
      <c r="E80" s="403" t="s">
        <v>7</v>
      </c>
      <c r="F80" s="132">
        <f>'табель ОВЗ обед'!C76</f>
        <v>0</v>
      </c>
      <c r="G80" s="399">
        <f>'табель ОВЗ завтрак'!AR76+'табель ОВЗ обед'!AO76</f>
        <v>0</v>
      </c>
      <c r="H80" s="400"/>
      <c r="I80" s="401"/>
      <c r="J80" s="103"/>
      <c r="K80" s="105"/>
    </row>
    <row r="81" spans="1:11" s="104" customFormat="1" ht="15.75" hidden="1" customHeight="1" x14ac:dyDescent="0.25">
      <c r="A81" s="102">
        <v>69</v>
      </c>
      <c r="B81" s="402">
        <f>'табель малоимущих'!B47</f>
        <v>0</v>
      </c>
      <c r="C81" s="403" t="s">
        <v>7</v>
      </c>
      <c r="D81" s="403" t="s">
        <v>7</v>
      </c>
      <c r="E81" s="403" t="s">
        <v>7</v>
      </c>
      <c r="F81" s="132">
        <f>'табель ОВЗ обед'!C77</f>
        <v>0</v>
      </c>
      <c r="G81" s="399">
        <f>'табель ОВЗ завтрак'!AR77+'табель ОВЗ обед'!AO77</f>
        <v>0</v>
      </c>
      <c r="H81" s="400"/>
      <c r="I81" s="401"/>
      <c r="J81" s="103"/>
      <c r="K81" s="105"/>
    </row>
    <row r="82" spans="1:11" s="98" customFormat="1" ht="15.75" customHeight="1" x14ac:dyDescent="0.25">
      <c r="A82" s="221"/>
      <c r="B82" s="414" t="s">
        <v>3</v>
      </c>
      <c r="C82" s="415"/>
      <c r="D82" s="415"/>
      <c r="E82" s="416"/>
      <c r="F82" s="83"/>
      <c r="G82" s="423">
        <f>SUM(G18:I81)</f>
        <v>0</v>
      </c>
      <c r="H82" s="453"/>
      <c r="I82" s="454"/>
      <c r="J82" s="106"/>
      <c r="K82" s="107"/>
    </row>
    <row r="83" spans="1:11" s="244" customFormat="1" ht="15.75" customHeight="1" x14ac:dyDescent="0.2">
      <c r="J83" s="52"/>
    </row>
    <row r="84" spans="1:11" s="244" customFormat="1" ht="15.75" customHeight="1" outlineLevel="1" x14ac:dyDescent="0.2">
      <c r="A84" s="451" t="s">
        <v>106</v>
      </c>
      <c r="B84" s="451"/>
      <c r="C84" s="53"/>
      <c r="E84" s="108" t="s">
        <v>97</v>
      </c>
      <c r="J84" s="52"/>
    </row>
    <row r="85" spans="1:11" s="56" customFormat="1" ht="15.75" customHeight="1" outlineLevel="1" x14ac:dyDescent="0.2">
      <c r="C85" s="109" t="s">
        <v>18</v>
      </c>
      <c r="E85" s="60" t="s">
        <v>19</v>
      </c>
      <c r="J85" s="61"/>
    </row>
    <row r="86" spans="1:11" s="244" customFormat="1" ht="15.75" customHeight="1" outlineLevel="1" x14ac:dyDescent="0.2">
      <c r="A86" s="244" t="s">
        <v>44</v>
      </c>
      <c r="C86" s="53"/>
      <c r="E86" s="108" t="s">
        <v>90</v>
      </c>
      <c r="J86" s="52"/>
    </row>
    <row r="87" spans="1:11" s="56" customFormat="1" ht="15.75" customHeight="1" outlineLevel="1" x14ac:dyDescent="0.2">
      <c r="C87" s="109" t="s">
        <v>18</v>
      </c>
      <c r="E87" s="60" t="s">
        <v>19</v>
      </c>
      <c r="H87" s="58"/>
      <c r="I87" s="58"/>
      <c r="J87" s="61"/>
    </row>
    <row r="88" spans="1:11" s="244" customFormat="1" ht="15.75" customHeight="1" outlineLevel="1" x14ac:dyDescent="0.25">
      <c r="B88" s="244" t="s">
        <v>123</v>
      </c>
      <c r="C88" s="236"/>
      <c r="D88" s="236"/>
      <c r="J88" s="52"/>
    </row>
    <row r="89" spans="1:11" s="56" customFormat="1" ht="15.75" hidden="1" customHeight="1" outlineLevel="1" x14ac:dyDescent="0.2">
      <c r="B89" s="109"/>
      <c r="C89" s="60"/>
      <c r="H89" s="58"/>
      <c r="I89" s="58"/>
      <c r="J89" s="61"/>
    </row>
    <row r="90" spans="1:11" s="114" customFormat="1" ht="15.75" hidden="1" customHeight="1" outlineLevel="1" x14ac:dyDescent="0.2">
      <c r="A90" s="424">
        <f>G82</f>
        <v>0</v>
      </c>
      <c r="B90" s="424"/>
      <c r="C90" s="110">
        <f>FLOOR(A90/1000000,1)</f>
        <v>0</v>
      </c>
      <c r="D90" s="111" t="str">
        <f>IF(C90&gt;5,"",IF(C90=1,"Один ",IF(C90=2,"Два ",IF(C90=3,"Три ",IF(C90=4,"Четыре ",IF(C90=5,"Пять ",IF(C90=0,"")))))))</f>
        <v/>
      </c>
      <c r="E90" s="111" t="str">
        <f>IF(C90&lt;5,"",IF(C90=6,"Шесть ",IF(C90=7,"Семь ",IF(C90=8,"Восемь ",IF(C90=9,"Девять ",IF(C90=0,"",IF(C90=5,"")))))))</f>
        <v/>
      </c>
      <c r="F90" s="111" t="str">
        <f>IF(C90=0,"",IF(C90=1,"миллион ",IF(AND(C90&gt;=2,C90&lt;=4),"миллиона ","миллионов ")))</f>
        <v/>
      </c>
      <c r="G90" s="112"/>
      <c r="H90" s="112"/>
      <c r="I90" s="113"/>
    </row>
    <row r="91" spans="1:11" s="114" customFormat="1" ht="15.75" hidden="1" customHeight="1" outlineLevel="1" x14ac:dyDescent="0.2">
      <c r="B91" s="238"/>
      <c r="C91" s="110">
        <f>FLOOR((A90-C90*1000000)/100000,1)</f>
        <v>0</v>
      </c>
      <c r="D91" s="111" t="str">
        <f>IF(C91&gt;5,"",IF(C91=1,"Сто ",IF(C91=2,"Двести ",IF(C91=3,"Триста ",IF(C91=4,"Четыреста ",IF(C91=5,"Пятьсот ",IF(C91=0,"")))))))</f>
        <v/>
      </c>
      <c r="E91" s="111" t="str">
        <f>IF(C91&lt;5,"",IF(C91=6,"Шестьсот ",IF(C91=7,"Семьсот ",IF(C91=8,"Восемьсот ",IF(C91=9,"Девятьсот ",IF(C91=0,"",IF(C91=5,"")))))))</f>
        <v/>
      </c>
      <c r="F91" s="111" t="str">
        <f>IF(C91=0,"",IF(AND(C92=0,C93=0),"тысяч ",""))</f>
        <v/>
      </c>
      <c r="G91" s="112"/>
      <c r="H91" s="112"/>
      <c r="I91" s="113"/>
    </row>
    <row r="92" spans="1:11" s="114" customFormat="1" ht="15.75" hidden="1" customHeight="1" outlineLevel="1" x14ac:dyDescent="0.2">
      <c r="B92" s="238"/>
      <c r="C92" s="110">
        <f>FLOOR((A90-(C90*1000000)-(C91*100000))/10000,1)</f>
        <v>0</v>
      </c>
      <c r="D92" s="111" t="str">
        <f>IF(C92&gt;5,"",IF(AND(C92=1,C93=0),"Десять ",IF(C92=2,"Двадцать ",IF(C92=3,"Тридцать ",IF(C92=4,"Сорок ",IF(C92=5,"Пятьдесят ",IF(C92=0,"","")))))))</f>
        <v/>
      </c>
      <c r="E92" s="111" t="str">
        <f>IF(C92&lt;5,"",IF(C92=6,"Шестьдесят ",IF(C92=7,"Семьдесят ",IF(C92=8,"Восемьдесят ",IF(C92=9,"Девяносто ",IF(C92=0,"",IF(C92=5,"")))))))</f>
        <v/>
      </c>
      <c r="F92" s="111" t="str">
        <f>IF(C92=0,"",IF(C93=0,"тысяч ",""))</f>
        <v/>
      </c>
      <c r="G92" s="111" t="str">
        <f>IF(C92&lt;&gt;1,"",IF(C93=1,"Одиннадцать ",IF(C93=2,"Двенадцать ",IF(C93=3,"Тринадцать ",IF(C93=4,"Четырнадцать ",IF(C93=5,"Пятнадцать ",IF(C93=6,"Шестнадцать ",IF(C93=7,"Семнадцать ",""))))))))</f>
        <v/>
      </c>
      <c r="H92" s="112" t="str">
        <f>IF(C92&lt;&gt;1,"",IF(C93=0,"",IF(C93=8,"Восемнадцать ",IF(C93=9,"Девятнадцать ",""))))</f>
        <v/>
      </c>
      <c r="I92" s="113"/>
    </row>
    <row r="93" spans="1:11" s="114" customFormat="1" ht="15.75" hidden="1" customHeight="1" outlineLevel="1" x14ac:dyDescent="0.2">
      <c r="B93" s="238"/>
      <c r="C93" s="110">
        <f>FLOOR((A90-(C90*1000000)-(C91*100000)-(C92*10000))/1000,1)</f>
        <v>0</v>
      </c>
      <c r="D93" s="111" t="str">
        <f>IF(C93&gt;5,"",IF(C92=1,"",IF(C93=1,"Одна ",IF(C93=2,"Две ",IF(C93=3,"Три ",IF(C93=4,"Четыре ",IF(C93=5,"Пять ",IF(C93=0,""))))))))</f>
        <v/>
      </c>
      <c r="E93" s="111" t="str">
        <f>IF(C93&lt;5,"",IF(C92=1,"",IF(C93=6,"Шесть ",IF(C93=7,"Семь ",IF(C93=8,"Восемь ",IF(C93=9,"Девять ",IF(C93=0,"",IF(C93=5,""))))))))</f>
        <v/>
      </c>
      <c r="F93" s="111" t="str">
        <f>IF(C93=0,"",IF(AND(C93=1,C92=1),"тысяч ",IF(C93=1,"тысяча ",IF(C92=1,"тысяч ",IF(AND(C93&gt;1,C93&lt;5),"тысячи ","тысяч ")))))</f>
        <v/>
      </c>
      <c r="G93" s="112"/>
      <c r="H93" s="112"/>
      <c r="I93" s="113"/>
    </row>
    <row r="94" spans="1:11" s="114" customFormat="1" ht="15.75" hidden="1" customHeight="1" outlineLevel="1" x14ac:dyDescent="0.2">
      <c r="B94" s="238"/>
      <c r="C94" s="110">
        <f>FLOOR((A90-(C90*1000000)-(C91*100000)-(C92*10000)-(C93*1000))/100,1)</f>
        <v>0</v>
      </c>
      <c r="D94" s="111" t="str">
        <f>IF(C94&gt;5,"",IF(C94=1,"Сто ",IF(C94=2,"Двести ",IF(C94=3,"Триста ",IF(C94=4,"Четыреста ",IF(C94=5,"Пятьсот ",IF(C94=0,"")))))))</f>
        <v/>
      </c>
      <c r="E94" s="111" t="str">
        <f>IF(C94&lt;5,"",IF(C94=6,"Шестьсот ",IF(C94=7,"Семьсот ",IF(C94=8,"Восемьсот ",IF(C94=9,"Девятьсот ",IF(C94=0,"",IF(C94=5,"")))))))</f>
        <v/>
      </c>
      <c r="F94" s="112"/>
      <c r="G94" s="112"/>
      <c r="H94" s="112"/>
      <c r="I94" s="113"/>
    </row>
    <row r="95" spans="1:11" s="114" customFormat="1" ht="15.75" hidden="1" customHeight="1" outlineLevel="1" x14ac:dyDescent="0.2">
      <c r="B95" s="238"/>
      <c r="C95" s="110">
        <f>FLOOR((A90-(C90*1000000)-(C91*100000)-(C92*10000)-(C93*1000)-(C94*100))/10,1)</f>
        <v>0</v>
      </c>
      <c r="D95" s="111" t="str">
        <f>IF(C95&gt;5,"",IF(C95=1,"",IF(C95=2,"Двадцать ",IF(C95=3,"Тридцать ",IF(C95=4,"Сорок ",IF(C95=5,"Пятьдесят ",IF(C95=0,"")))))))</f>
        <v/>
      </c>
      <c r="E95" s="111" t="str">
        <f>IF(C95&lt;5,"",IF(C95=6,"Шестьдесят ",IF(C95=7,"Семьдесят ",IF(C95=8,"Восемьдесят ",IF(C95=9,"Девяносто ",IF(C95=0,"",IF(C95=5,"")))))))</f>
        <v/>
      </c>
      <c r="F95" s="112"/>
      <c r="G95" s="111" t="str">
        <f>IF(C95&lt;&gt;1,"",IF(C96=1,"Одиннадцать ",IF(C96=2,"Двенадцать ",IF(C96=3,"Тринадцать ",IF(C96=4,"Четырнадцать ",IF(C96=5,"Пятнадцать ",IF(C96=6,"Шестнадцать ",IF(C96=7,"Семнадцать ",""))))))))</f>
        <v/>
      </c>
      <c r="H95" s="111" t="str">
        <f>IF(C95&lt;&gt;1,"",IF(C96=0,"Десять ",IF(C96=8,"Восемнадцать ",IF(C96=9,"Девятнадцать ",""))))</f>
        <v/>
      </c>
      <c r="I95" s="113"/>
    </row>
    <row r="96" spans="1:11" s="114" customFormat="1" ht="15.75" hidden="1" customHeight="1" outlineLevel="1" x14ac:dyDescent="0.2">
      <c r="B96" s="238"/>
      <c r="C96" s="110">
        <f>FLOOR((A90-(C90*1000000)-(C91*100000)-(C92*10000)-(C93*1000)-(C94*100)-(C95*10)),1)</f>
        <v>0</v>
      </c>
      <c r="D96" s="111" t="str">
        <f>IF(C96&gt;5,"",IF(C95=1,"",IF(C96=1,"Один ",IF(C96=2,"Два ",IF(C96=3,"Три ",IF(C96=4,"Четыре ",IF(C96=5,"Пять ",IF(C96=0," "))))))))</f>
        <v xml:space="preserve"> </v>
      </c>
      <c r="E96" s="111" t="str">
        <f>IF(C96&lt;5,"",IF(C95=1,"",IF(C96=6,"Шесть ",IF(C96=7,"Семь ",IF(C96=8,"Восемь ",IF(C96=9,"Девять ",IF(C96=0,"",IF(C96=5,""))))))))</f>
        <v/>
      </c>
      <c r="F96" s="112"/>
      <c r="G96" s="112"/>
      <c r="H96" s="112"/>
      <c r="I96" s="111" t="str">
        <f>IF(C95=1,"рублей",IF(C96=0,"рублей",IF(C96=1,"рубль",IF(AND(C96&gt;1,C96&lt;5),"рубля","рублей"))))</f>
        <v>рублей</v>
      </c>
    </row>
    <row r="97" spans="1:11" s="114" customFormat="1" ht="15.75" hidden="1" customHeight="1" outlineLevel="1" x14ac:dyDescent="0.2">
      <c r="A97" s="116" t="str">
        <f>REPLACE(LOWER(CONCATENATE(D90,E90,F90,D91,E91,F91,D92,E92,F92,G92,H92,D93,E93,F93,G93,H93,D94,E94,F94,D95,E95,F95,G95,H95,D96,E96,F96,G96,H96,I96)),1,1,LEFT(CONCATENATE(D90,E90,F90,D91,E91,F91,D92,E92,F92,G92,H92,D93,E93,F93,G93,H93,D94,E94,F94,D95,E95,F95,G95,H95,D96,E96,F96,G96,H96,I96),1))</f>
        <v xml:space="preserve"> рублей</v>
      </c>
      <c r="B97" s="117"/>
      <c r="C97" s="116"/>
      <c r="D97" s="116"/>
      <c r="E97" s="116"/>
      <c r="F97" s="116"/>
      <c r="G97" s="116"/>
      <c r="H97" s="116"/>
      <c r="I97" s="118"/>
      <c r="J97" s="117"/>
      <c r="K97" s="117"/>
    </row>
    <row r="98" spans="1:11" s="114" customFormat="1" ht="15.75" hidden="1" customHeight="1" outlineLevel="1" x14ac:dyDescent="0.2">
      <c r="C98" s="110">
        <f>ROUND((A100-INT(A100))*100,0)</f>
        <v>0</v>
      </c>
      <c r="D98" s="119" t="str">
        <f>IF(C98&lt;10,CONCATENATE(0,C98),C98)</f>
        <v>00</v>
      </c>
      <c r="E98" s="111">
        <f>C98-(FLOOR(C98/10,1)*10)</f>
        <v>0</v>
      </c>
      <c r="F98" s="111" t="s">
        <v>45</v>
      </c>
      <c r="G98" s="112"/>
      <c r="H98" s="112"/>
      <c r="I98" s="120"/>
    </row>
    <row r="99" spans="1:11" s="114" customFormat="1" ht="15.75" hidden="1" customHeight="1" outlineLevel="1" x14ac:dyDescent="0.2">
      <c r="A99" s="116" t="str">
        <f>CONCATENATE(D98,F98)</f>
        <v>00 коп.</v>
      </c>
      <c r="B99" s="117"/>
      <c r="C99" s="112"/>
      <c r="D99" s="121"/>
      <c r="E99" s="112"/>
      <c r="F99" s="112"/>
      <c r="G99" s="112"/>
      <c r="H99" s="112"/>
      <c r="I99" s="113"/>
    </row>
    <row r="100" spans="1:11" s="114" customFormat="1" ht="15.75" hidden="1" customHeight="1" outlineLevel="1" x14ac:dyDescent="0.2">
      <c r="A100" s="239">
        <f>A101-INT(A101)</f>
        <v>0</v>
      </c>
      <c r="B100" s="239"/>
      <c r="C100" s="123"/>
      <c r="D100" s="113"/>
      <c r="E100" s="113"/>
      <c r="F100" s="113"/>
      <c r="G100" s="113"/>
      <c r="H100" s="113"/>
      <c r="I100" s="113"/>
    </row>
    <row r="101" spans="1:11" s="114" customFormat="1" ht="15.75" hidden="1" customHeight="1" outlineLevel="1" x14ac:dyDescent="0.2">
      <c r="A101" s="422">
        <f>G82</f>
        <v>0</v>
      </c>
      <c r="B101" s="422"/>
      <c r="C101" s="113"/>
      <c r="D101" s="113"/>
      <c r="E101" s="113"/>
      <c r="F101" s="113"/>
      <c r="G101" s="113"/>
      <c r="H101" s="113"/>
      <c r="I101" s="113"/>
    </row>
    <row r="102" spans="1:11" ht="15.75" hidden="1" customHeight="1" outlineLevel="1" x14ac:dyDescent="0.2"/>
    <row r="103" spans="1:11" ht="15.75" hidden="1" customHeight="1" outlineLevel="1" x14ac:dyDescent="0.2"/>
    <row r="104" spans="1:11" ht="15.75" hidden="1" customHeight="1" x14ac:dyDescent="0.2"/>
    <row r="105" spans="1:11" ht="15.2" hidden="1" customHeight="1" x14ac:dyDescent="0.2"/>
    <row r="106" spans="1:11" ht="15.2" hidden="1" customHeight="1" x14ac:dyDescent="0.2">
      <c r="B106" s="68" t="s">
        <v>98</v>
      </c>
      <c r="J106" s="68"/>
    </row>
    <row r="107" spans="1:11" ht="15.2" customHeight="1" x14ac:dyDescent="0.2">
      <c r="B107" s="68" t="s">
        <v>124</v>
      </c>
      <c r="J107" s="68"/>
    </row>
    <row r="108" spans="1:11" ht="15.2" customHeight="1" x14ac:dyDescent="0.2">
      <c r="B108" s="452" t="s">
        <v>125</v>
      </c>
      <c r="C108" s="452"/>
      <c r="J108" s="68"/>
    </row>
    <row r="109" spans="1:11" ht="15.2" customHeight="1" x14ac:dyDescent="0.2">
      <c r="J109" s="68"/>
    </row>
    <row r="110" spans="1:11" ht="15.2" customHeight="1" x14ac:dyDescent="0.2">
      <c r="J110" s="68"/>
    </row>
    <row r="111" spans="1:11" ht="15.2" customHeight="1" x14ac:dyDescent="0.2">
      <c r="J111" s="68"/>
    </row>
    <row r="112" spans="1:11" ht="15.2" customHeight="1" x14ac:dyDescent="0.2">
      <c r="J112" s="68"/>
    </row>
    <row r="113" spans="10:10" ht="15.2" customHeight="1" x14ac:dyDescent="0.2">
      <c r="J113" s="68"/>
    </row>
    <row r="114" spans="10:10" ht="15.2" customHeight="1" x14ac:dyDescent="0.2">
      <c r="J114" s="68"/>
    </row>
    <row r="115" spans="10:10" ht="15.2" customHeight="1" x14ac:dyDescent="0.2">
      <c r="J115" s="68"/>
    </row>
    <row r="116" spans="10:10" ht="15.2" customHeight="1" x14ac:dyDescent="0.2">
      <c r="J116" s="68"/>
    </row>
    <row r="117" spans="10:10" ht="15.2" customHeight="1" x14ac:dyDescent="0.2">
      <c r="J117" s="68"/>
    </row>
    <row r="118" spans="10:10" ht="15.2" customHeight="1" x14ac:dyDescent="0.2">
      <c r="J118" s="68"/>
    </row>
    <row r="119" spans="10:10" ht="15.2" customHeight="1" x14ac:dyDescent="0.2">
      <c r="J119" s="68"/>
    </row>
    <row r="120" spans="10:10" ht="15.2" customHeight="1" x14ac:dyDescent="0.2">
      <c r="J120" s="68"/>
    </row>
    <row r="121" spans="10:10" ht="15.2" customHeight="1" x14ac:dyDescent="0.2">
      <c r="J121" s="68"/>
    </row>
    <row r="122" spans="10:10" ht="15.2" customHeight="1" x14ac:dyDescent="0.2">
      <c r="J122" s="68"/>
    </row>
    <row r="123" spans="10:10" ht="15.2" customHeight="1" x14ac:dyDescent="0.2">
      <c r="J123" s="68"/>
    </row>
    <row r="124" spans="10:10" ht="15.2" customHeight="1" x14ac:dyDescent="0.2">
      <c r="J124" s="68"/>
    </row>
    <row r="125" spans="10:10" ht="15.2" customHeight="1" x14ac:dyDescent="0.2">
      <c r="J125" s="68"/>
    </row>
    <row r="126" spans="10:10" ht="15.2" customHeight="1" x14ac:dyDescent="0.2">
      <c r="J126" s="68"/>
    </row>
    <row r="127" spans="10:10" ht="15.2" customHeight="1" x14ac:dyDescent="0.2">
      <c r="J127" s="68"/>
    </row>
    <row r="128" spans="10:10" ht="15.2" customHeight="1" x14ac:dyDescent="0.2">
      <c r="J128" s="68"/>
    </row>
    <row r="129" spans="1:10" ht="15.2" customHeight="1" x14ac:dyDescent="0.2">
      <c r="J129" s="68"/>
    </row>
    <row r="130" spans="1:10" ht="15.2" customHeight="1" x14ac:dyDescent="0.2">
      <c r="J130" s="68"/>
    </row>
    <row r="131" spans="1:10" ht="15.2" customHeight="1" x14ac:dyDescent="0.2">
      <c r="J131" s="68"/>
    </row>
    <row r="132" spans="1:10" ht="15.2" customHeight="1" x14ac:dyDescent="0.2">
      <c r="J132" s="68"/>
    </row>
    <row r="133" spans="1:10" ht="15.2" customHeight="1" x14ac:dyDescent="0.2">
      <c r="J133" s="68"/>
    </row>
    <row r="134" spans="1:10" ht="15.2" hidden="1" customHeight="1" x14ac:dyDescent="0.25">
      <c r="A134" s="425" t="s">
        <v>46</v>
      </c>
      <c r="B134" s="425"/>
      <c r="J134" s="68"/>
    </row>
    <row r="135" spans="1:10" ht="15.2" hidden="1" customHeight="1" x14ac:dyDescent="0.2">
      <c r="J135" s="68"/>
    </row>
    <row r="136" spans="1:10" ht="21.95" hidden="1" customHeight="1" x14ac:dyDescent="0.2">
      <c r="A136" s="124">
        <v>1</v>
      </c>
      <c r="B136" s="413" t="s">
        <v>47</v>
      </c>
      <c r="C136" s="413"/>
      <c r="D136" s="413"/>
      <c r="E136" s="413"/>
      <c r="F136" s="413"/>
      <c r="J136" s="68"/>
    </row>
    <row r="137" spans="1:10" ht="21.95" hidden="1" customHeight="1" x14ac:dyDescent="0.2">
      <c r="A137" s="124">
        <v>2</v>
      </c>
      <c r="B137" s="413" t="s">
        <v>48</v>
      </c>
      <c r="C137" s="413"/>
      <c r="D137" s="413"/>
      <c r="E137" s="413"/>
      <c r="F137" s="413"/>
      <c r="J137" s="68"/>
    </row>
    <row r="138" spans="1:10" ht="21.95" hidden="1" customHeight="1" x14ac:dyDescent="0.2">
      <c r="A138" s="124">
        <v>3</v>
      </c>
      <c r="B138" s="413" t="s">
        <v>49</v>
      </c>
      <c r="C138" s="413"/>
      <c r="D138" s="413"/>
      <c r="E138" s="413"/>
      <c r="F138" s="413"/>
      <c r="J138" s="68"/>
    </row>
    <row r="139" spans="1:10" ht="21.95" hidden="1" customHeight="1" x14ac:dyDescent="0.2">
      <c r="A139" s="124">
        <v>4</v>
      </c>
      <c r="B139" s="413" t="s">
        <v>50</v>
      </c>
      <c r="C139" s="413"/>
      <c r="D139" s="413"/>
      <c r="E139" s="413"/>
      <c r="F139" s="413"/>
      <c r="J139" s="68"/>
    </row>
    <row r="140" spans="1:10" ht="21.95" hidden="1" customHeight="1" x14ac:dyDescent="0.2">
      <c r="A140" s="124">
        <v>5</v>
      </c>
      <c r="B140" s="413" t="s">
        <v>51</v>
      </c>
      <c r="C140" s="413"/>
      <c r="D140" s="413"/>
      <c r="E140" s="413"/>
      <c r="F140" s="413"/>
      <c r="J140" s="68"/>
    </row>
    <row r="141" spans="1:10" ht="21.95" hidden="1" customHeight="1" x14ac:dyDescent="0.2">
      <c r="A141" s="124">
        <v>6</v>
      </c>
      <c r="B141" s="413" t="s">
        <v>52</v>
      </c>
      <c r="C141" s="413"/>
      <c r="D141" s="413"/>
      <c r="E141" s="413"/>
      <c r="F141" s="413"/>
      <c r="J141" s="68"/>
    </row>
    <row r="142" spans="1:10" ht="21.95" hidden="1" customHeight="1" x14ac:dyDescent="0.2">
      <c r="A142" s="124">
        <v>7</v>
      </c>
      <c r="B142" s="413" t="s">
        <v>53</v>
      </c>
      <c r="C142" s="413"/>
      <c r="D142" s="413"/>
      <c r="E142" s="413"/>
      <c r="F142" s="413"/>
      <c r="J142" s="68"/>
    </row>
    <row r="143" spans="1:10" ht="21.95" hidden="1" customHeight="1" x14ac:dyDescent="0.25">
      <c r="A143" s="125"/>
      <c r="B143" s="237" t="s">
        <v>3</v>
      </c>
      <c r="C143" s="98"/>
      <c r="D143" s="98"/>
      <c r="E143" s="98"/>
      <c r="F143" s="98"/>
      <c r="J143" s="68"/>
    </row>
    <row r="144" spans="1:10" ht="21.95" hidden="1" customHeight="1" x14ac:dyDescent="0.2">
      <c r="A144" s="244" t="s">
        <v>54</v>
      </c>
      <c r="B144" s="244"/>
      <c r="C144" s="244"/>
      <c r="D144" s="244"/>
      <c r="E144" s="244"/>
      <c r="F144" s="244"/>
      <c r="J144" s="68"/>
    </row>
    <row r="145" spans="1:10" ht="21.95" hidden="1" customHeight="1" x14ac:dyDescent="0.2">
      <c r="A145" s="244" t="s">
        <v>55</v>
      </c>
      <c r="B145" s="244"/>
      <c r="C145" s="244"/>
      <c r="D145" s="244"/>
      <c r="E145" s="244"/>
      <c r="F145" s="244"/>
      <c r="J145" s="68"/>
    </row>
    <row r="146" spans="1:10" ht="21.95" hidden="1" customHeight="1" x14ac:dyDescent="0.2">
      <c r="A146" s="244"/>
      <c r="B146" s="244"/>
      <c r="C146" s="244"/>
      <c r="D146" s="244"/>
      <c r="E146" s="244"/>
      <c r="F146" s="244"/>
      <c r="J146" s="68"/>
    </row>
    <row r="147" spans="1:10" ht="21.95" hidden="1" customHeight="1" x14ac:dyDescent="0.25">
      <c r="A147" s="244" t="s">
        <v>56</v>
      </c>
      <c r="B147" s="244"/>
      <c r="C147" s="418"/>
      <c r="D147" s="418"/>
      <c r="E147" s="244"/>
      <c r="F147" s="244"/>
      <c r="J147" s="68"/>
    </row>
    <row r="148" spans="1:10" ht="21.95" hidden="1" customHeight="1" x14ac:dyDescent="0.2">
      <c r="A148" s="56"/>
      <c r="B148" s="109" t="s">
        <v>18</v>
      </c>
      <c r="C148" s="60" t="s">
        <v>19</v>
      </c>
      <c r="D148" s="56"/>
      <c r="E148" s="56"/>
      <c r="F148" s="56"/>
      <c r="J148" s="68"/>
    </row>
    <row r="149" spans="1:10" ht="21.95" hidden="1" customHeight="1" x14ac:dyDescent="0.2">
      <c r="A149" s="244"/>
      <c r="B149" s="244"/>
      <c r="C149" s="244"/>
      <c r="D149" s="244"/>
      <c r="E149" s="244"/>
      <c r="F149" s="244"/>
      <c r="J149" s="68"/>
    </row>
    <row r="150" spans="1:10" ht="21.95" hidden="1" customHeight="1" x14ac:dyDescent="0.2">
      <c r="A150" s="244"/>
      <c r="B150" s="244"/>
      <c r="C150" s="244"/>
      <c r="D150" s="244"/>
      <c r="E150" s="244"/>
      <c r="F150" s="244"/>
      <c r="J150" s="68"/>
    </row>
    <row r="151" spans="1:10" ht="21.95" hidden="1" customHeight="1" x14ac:dyDescent="0.2">
      <c r="A151" s="419" t="e">
        <f>#REF!</f>
        <v>#REF!</v>
      </c>
      <c r="B151" s="419"/>
      <c r="C151" s="112"/>
      <c r="D151" s="104"/>
      <c r="E151" s="104"/>
      <c r="F151" s="104"/>
      <c r="J151" s="68"/>
    </row>
    <row r="152" spans="1:10" ht="21.95" hidden="1" customHeight="1" x14ac:dyDescent="0.2">
      <c r="A152" s="104"/>
      <c r="B152" s="420"/>
      <c r="C152" s="112"/>
      <c r="D152" s="104"/>
      <c r="E152" s="104"/>
      <c r="F152" s="104"/>
      <c r="J152" s="68"/>
    </row>
    <row r="153" spans="1:10" ht="21.95" hidden="1" customHeight="1" x14ac:dyDescent="0.2">
      <c r="A153" s="104"/>
      <c r="B153" s="420"/>
      <c r="C153" s="112" t="e">
        <f>IF(#REF!&lt;&gt;1,"",IF(#REF!=0,"",IF(#REF!=8,"Восемнадцать ",IF(#REF!=9,"Девятнадцать ",""))))</f>
        <v>#REF!</v>
      </c>
      <c r="D153" s="104"/>
      <c r="E153" s="104"/>
      <c r="F153" s="104"/>
      <c r="J153" s="68"/>
    </row>
    <row r="154" spans="1:10" ht="21.95" hidden="1" customHeight="1" x14ac:dyDescent="0.2">
      <c r="A154" s="104"/>
      <c r="B154" s="420"/>
      <c r="C154" s="112"/>
      <c r="D154" s="104"/>
      <c r="E154" s="104"/>
      <c r="F154" s="104"/>
      <c r="J154" s="68"/>
    </row>
    <row r="155" spans="1:10" ht="21.95" hidden="1" customHeight="1" x14ac:dyDescent="0.2">
      <c r="A155" s="104"/>
      <c r="B155" s="420"/>
      <c r="C155" s="112"/>
      <c r="D155" s="104"/>
      <c r="E155" s="104"/>
      <c r="F155" s="104"/>
      <c r="J155" s="68"/>
    </row>
    <row r="156" spans="1:10" ht="21.95" hidden="1" customHeight="1" x14ac:dyDescent="0.2">
      <c r="A156" s="104"/>
      <c r="B156" s="420"/>
      <c r="C156" s="111" t="e">
        <f>IF(#REF!&lt;&gt;1,"",IF(#REF!=0,"Десять ",IF(#REF!=8,"Восемнадцать ",IF(#REF!=9,"Девятнадцать ",""))))</f>
        <v>#REF!</v>
      </c>
      <c r="D156" s="104"/>
      <c r="E156" s="104"/>
      <c r="F156" s="104"/>
      <c r="J156" s="68"/>
    </row>
    <row r="157" spans="1:10" ht="21.95" hidden="1" customHeight="1" x14ac:dyDescent="0.2">
      <c r="A157" s="104"/>
      <c r="B157" s="420"/>
      <c r="C157" s="112"/>
      <c r="D157" s="104"/>
      <c r="E157" s="104"/>
      <c r="F157" s="104"/>
      <c r="J157" s="68"/>
    </row>
    <row r="158" spans="1:10" ht="21.95" hidden="1" customHeight="1" x14ac:dyDescent="0.2">
      <c r="A158" s="116" t="e">
        <f>REPLACE(LOWER(CONCATENATE(#REF!,#REF!,#REF!,#REF!,#REF!,#REF!,#REF!,#REF!,#REF!,#REF!,C153,#REF!,#REF!,#REF!,#REF!,C154,#REF!,#REF!,#REF!,#REF!,#REF!,#REF!,#REF!,C156,#REF!,#REF!,#REF!,#REF!,C157,#REF!)),1,1,LEFT(CONCATENATE(#REF!,#REF!,#REF!,#REF!,#REF!,#REF!,#REF!,#REF!,#REF!,#REF!,C153,#REF!,#REF!,#REF!,#REF!,C154,#REF!,#REF!,#REF!,#REF!,#REF!,#REF!,#REF!,C156,#REF!,#REF!,#REF!,#REF!,C157,#REF!),1))</f>
        <v>#REF!</v>
      </c>
      <c r="B158" s="116"/>
      <c r="C158" s="116"/>
      <c r="D158" s="116"/>
      <c r="E158" s="104"/>
      <c r="F158" s="104"/>
      <c r="J158" s="68"/>
    </row>
    <row r="159" spans="1:10" ht="21.95" hidden="1" customHeight="1" x14ac:dyDescent="0.2">
      <c r="A159" s="104"/>
      <c r="B159" s="104"/>
      <c r="C159" s="112"/>
      <c r="D159" s="104"/>
      <c r="E159" s="104"/>
      <c r="F159" s="104"/>
      <c r="J159" s="68"/>
    </row>
    <row r="160" spans="1:10" ht="21.95" hidden="1" customHeight="1" x14ac:dyDescent="0.2">
      <c r="A160" s="116" t="e">
        <f>CONCATENATE(#REF!,#REF!)</f>
        <v>#REF!</v>
      </c>
      <c r="B160" s="116"/>
      <c r="C160" s="112"/>
      <c r="D160" s="104"/>
      <c r="E160" s="104"/>
      <c r="F160" s="104"/>
      <c r="J160" s="68"/>
    </row>
    <row r="161" spans="1:10" ht="21.95" hidden="1" customHeight="1" x14ac:dyDescent="0.2">
      <c r="A161" s="421" t="e">
        <f>A162-INT(A162)</f>
        <v>#REF!</v>
      </c>
      <c r="B161" s="421"/>
      <c r="C161" s="112"/>
      <c r="D161" s="104"/>
      <c r="E161" s="104"/>
      <c r="F161" s="104"/>
      <c r="J161" s="68"/>
    </row>
    <row r="162" spans="1:10" ht="21.95" hidden="1" customHeight="1" x14ac:dyDescent="0.2">
      <c r="A162" s="417" t="e">
        <f>#REF!</f>
        <v>#REF!</v>
      </c>
      <c r="B162" s="417"/>
      <c r="C162" s="112"/>
      <c r="D162" s="104"/>
      <c r="E162" s="104"/>
      <c r="F162" s="104"/>
      <c r="J162" s="68"/>
    </row>
    <row r="163" spans="1:10" ht="21.95" customHeight="1" collapsed="1" x14ac:dyDescent="0.2">
      <c r="A163" s="244"/>
      <c r="B163" s="244"/>
      <c r="C163" s="244"/>
      <c r="D163" s="244"/>
      <c r="E163" s="244"/>
      <c r="F163" s="244"/>
      <c r="J163" s="68"/>
    </row>
  </sheetData>
  <mergeCells count="155">
    <mergeCell ref="C147:D147"/>
    <mergeCell ref="A151:B151"/>
    <mergeCell ref="B152:B157"/>
    <mergeCell ref="A161:B161"/>
    <mergeCell ref="A162:B162"/>
    <mergeCell ref="B137:F137"/>
    <mergeCell ref="B138:F138"/>
    <mergeCell ref="B139:F139"/>
    <mergeCell ref="B140:F140"/>
    <mergeCell ref="B141:F141"/>
    <mergeCell ref="B142:F142"/>
    <mergeCell ref="A84:B84"/>
    <mergeCell ref="A90:B90"/>
    <mergeCell ref="A101:B101"/>
    <mergeCell ref="B108:C108"/>
    <mergeCell ref="A134:B134"/>
    <mergeCell ref="B136:F136"/>
    <mergeCell ref="B80:E80"/>
    <mergeCell ref="G80:I80"/>
    <mergeCell ref="B81:E81"/>
    <mergeCell ref="G81:I81"/>
    <mergeCell ref="B82:E82"/>
    <mergeCell ref="G82:I82"/>
    <mergeCell ref="B77:E77"/>
    <mergeCell ref="G77:I77"/>
    <mergeCell ref="B78:E78"/>
    <mergeCell ref="G78:I78"/>
    <mergeCell ref="B79:E79"/>
    <mergeCell ref="G79:I79"/>
    <mergeCell ref="B74:E74"/>
    <mergeCell ref="G74:I74"/>
    <mergeCell ref="B75:E75"/>
    <mergeCell ref="G75:I75"/>
    <mergeCell ref="B76:E76"/>
    <mergeCell ref="G76:I76"/>
    <mergeCell ref="B71:E71"/>
    <mergeCell ref="G71:I71"/>
    <mergeCell ref="B72:E72"/>
    <mergeCell ref="G72:I72"/>
    <mergeCell ref="B73:E73"/>
    <mergeCell ref="G73:I73"/>
    <mergeCell ref="B68:E68"/>
    <mergeCell ref="G68:I68"/>
    <mergeCell ref="B69:E69"/>
    <mergeCell ref="G69:I69"/>
    <mergeCell ref="B70:E70"/>
    <mergeCell ref="G70:I70"/>
    <mergeCell ref="B65:E65"/>
    <mergeCell ref="G65:I65"/>
    <mergeCell ref="B66:E66"/>
    <mergeCell ref="G66:I66"/>
    <mergeCell ref="B67:E67"/>
    <mergeCell ref="G67:I67"/>
    <mergeCell ref="B62:E62"/>
    <mergeCell ref="G62:I62"/>
    <mergeCell ref="B63:E63"/>
    <mergeCell ref="G63:I63"/>
    <mergeCell ref="B64:E64"/>
    <mergeCell ref="G64:I64"/>
    <mergeCell ref="B59:E59"/>
    <mergeCell ref="G59:I59"/>
    <mergeCell ref="B60:E60"/>
    <mergeCell ref="G60:I60"/>
    <mergeCell ref="B61:E61"/>
    <mergeCell ref="G61:I61"/>
    <mergeCell ref="B56:E56"/>
    <mergeCell ref="G56:I56"/>
    <mergeCell ref="B57:E57"/>
    <mergeCell ref="G57:I57"/>
    <mergeCell ref="B58:E58"/>
    <mergeCell ref="G58:I58"/>
    <mergeCell ref="B53:E53"/>
    <mergeCell ref="G53:I53"/>
    <mergeCell ref="B54:E54"/>
    <mergeCell ref="G54:I54"/>
    <mergeCell ref="B55:E55"/>
    <mergeCell ref="G55:I55"/>
    <mergeCell ref="B50:E50"/>
    <mergeCell ref="G50:I50"/>
    <mergeCell ref="B51:E51"/>
    <mergeCell ref="G51:I51"/>
    <mergeCell ref="B52:E52"/>
    <mergeCell ref="G52:I52"/>
    <mergeCell ref="B47:E47"/>
    <mergeCell ref="G47:I47"/>
    <mergeCell ref="B48:E48"/>
    <mergeCell ref="G48:I48"/>
    <mergeCell ref="B49:E49"/>
    <mergeCell ref="G49:I49"/>
    <mergeCell ref="B44:E44"/>
    <mergeCell ref="G44:I44"/>
    <mergeCell ref="B45:E45"/>
    <mergeCell ref="G45:I45"/>
    <mergeCell ref="B46:E46"/>
    <mergeCell ref="G46:I46"/>
    <mergeCell ref="B41:E41"/>
    <mergeCell ref="G41:I41"/>
    <mergeCell ref="B42:E42"/>
    <mergeCell ref="G42:I42"/>
    <mergeCell ref="B43:E43"/>
    <mergeCell ref="G43:I43"/>
    <mergeCell ref="B38:E38"/>
    <mergeCell ref="G38:I38"/>
    <mergeCell ref="B39:E39"/>
    <mergeCell ref="G39:I39"/>
    <mergeCell ref="B40:E40"/>
    <mergeCell ref="G40:I40"/>
    <mergeCell ref="B35:E35"/>
    <mergeCell ref="G35:I35"/>
    <mergeCell ref="B36:E36"/>
    <mergeCell ref="G36:I36"/>
    <mergeCell ref="B37:E37"/>
    <mergeCell ref="G37:I37"/>
    <mergeCell ref="B32:E32"/>
    <mergeCell ref="G32:I32"/>
    <mergeCell ref="B33:E33"/>
    <mergeCell ref="G33:I33"/>
    <mergeCell ref="B34:E34"/>
    <mergeCell ref="G34:I34"/>
    <mergeCell ref="B29:E29"/>
    <mergeCell ref="G29:I29"/>
    <mergeCell ref="B30:E30"/>
    <mergeCell ref="G30:I30"/>
    <mergeCell ref="B31:E31"/>
    <mergeCell ref="G31:I31"/>
    <mergeCell ref="B26:E26"/>
    <mergeCell ref="G26:I26"/>
    <mergeCell ref="B27:E27"/>
    <mergeCell ref="G27:I27"/>
    <mergeCell ref="B28:E28"/>
    <mergeCell ref="G28:I28"/>
    <mergeCell ref="B23:E23"/>
    <mergeCell ref="G23:I23"/>
    <mergeCell ref="B24:E24"/>
    <mergeCell ref="G24:I24"/>
    <mergeCell ref="B25:E25"/>
    <mergeCell ref="G25:I25"/>
    <mergeCell ref="B20:E20"/>
    <mergeCell ref="G20:I20"/>
    <mergeCell ref="B21:E21"/>
    <mergeCell ref="G21:I21"/>
    <mergeCell ref="B22:E22"/>
    <mergeCell ref="G22:I22"/>
    <mergeCell ref="B17:E17"/>
    <mergeCell ref="G17:I17"/>
    <mergeCell ref="B18:E18"/>
    <mergeCell ref="G18:I18"/>
    <mergeCell ref="B19:E19"/>
    <mergeCell ref="G19:I19"/>
    <mergeCell ref="B7:G7"/>
    <mergeCell ref="C8:F8"/>
    <mergeCell ref="A9:B9"/>
    <mergeCell ref="C10:G10"/>
    <mergeCell ref="B16:E16"/>
    <mergeCell ref="G16:I1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J24"/>
  <sheetViews>
    <sheetView workbookViewId="0">
      <selection activeCell="B5" sqref="B5"/>
    </sheetView>
  </sheetViews>
  <sheetFormatPr defaultRowHeight="12.75" x14ac:dyDescent="0.2"/>
  <cols>
    <col min="1" max="1" width="20" customWidth="1"/>
  </cols>
  <sheetData>
    <row r="1" spans="1:10" x14ac:dyDescent="0.2">
      <c r="A1" s="253"/>
      <c r="B1" s="254"/>
      <c r="C1" s="254"/>
      <c r="D1" s="255"/>
      <c r="E1" s="256"/>
      <c r="F1" s="257"/>
      <c r="G1" s="258"/>
      <c r="H1" s="259"/>
      <c r="I1" s="257"/>
      <c r="J1" s="258"/>
    </row>
    <row r="2" spans="1:10" x14ac:dyDescent="0.2">
      <c r="A2" s="260"/>
      <c r="B2" s="260"/>
      <c r="C2" s="260"/>
      <c r="D2" s="260"/>
      <c r="E2" s="260"/>
      <c r="F2" s="261"/>
      <c r="G2" s="262"/>
      <c r="H2" s="258"/>
      <c r="I2" s="258"/>
      <c r="J2" s="262"/>
    </row>
    <row r="3" spans="1:10" x14ac:dyDescent="0.2">
      <c r="A3" s="263" t="s">
        <v>159</v>
      </c>
      <c r="B3" s="263" t="s">
        <v>160</v>
      </c>
      <c r="C3" s="263" t="s">
        <v>161</v>
      </c>
      <c r="D3" s="263" t="s">
        <v>162</v>
      </c>
      <c r="E3" s="264" t="s">
        <v>163</v>
      </c>
    </row>
    <row r="4" spans="1:10" ht="13.5" thickBot="1" x14ac:dyDescent="0.25">
      <c r="A4" s="265"/>
      <c r="B4" s="265"/>
      <c r="C4" s="265"/>
      <c r="D4" s="265"/>
      <c r="E4" s="260"/>
    </row>
    <row r="5" spans="1:10" ht="13.5" thickBot="1" x14ac:dyDescent="0.25">
      <c r="A5" s="266" t="s">
        <v>164</v>
      </c>
      <c r="B5" s="267">
        <v>30.51</v>
      </c>
      <c r="C5" s="268">
        <v>37</v>
      </c>
      <c r="D5" s="269">
        <v>1128.8700000000001</v>
      </c>
      <c r="E5" s="270"/>
    </row>
    <row r="6" spans="1:10" x14ac:dyDescent="0.2">
      <c r="A6" s="271"/>
      <c r="B6" s="267">
        <v>59.93</v>
      </c>
      <c r="C6" s="268">
        <v>127</v>
      </c>
      <c r="D6" s="269">
        <v>7611.11</v>
      </c>
      <c r="E6" s="272"/>
    </row>
    <row r="7" spans="1:10" x14ac:dyDescent="0.2">
      <c r="A7" s="273"/>
      <c r="B7" s="267">
        <v>99.89</v>
      </c>
      <c r="C7" s="267">
        <v>264</v>
      </c>
      <c r="D7" s="274">
        <v>26370.959999999999</v>
      </c>
      <c r="E7" s="275">
        <v>35110.94</v>
      </c>
    </row>
    <row r="8" spans="1:10" ht="13.5" thickBot="1" x14ac:dyDescent="0.25">
      <c r="A8" s="276"/>
      <c r="B8" s="277">
        <v>130.4</v>
      </c>
      <c r="C8" s="278"/>
      <c r="D8" s="279">
        <v>0</v>
      </c>
      <c r="E8" s="280"/>
    </row>
    <row r="9" spans="1:10" x14ac:dyDescent="0.2">
      <c r="A9" s="271" t="s">
        <v>165</v>
      </c>
      <c r="B9" s="267">
        <v>30.51</v>
      </c>
      <c r="C9" s="281">
        <v>104</v>
      </c>
      <c r="D9" s="282">
        <v>3173.04</v>
      </c>
      <c r="E9" s="272"/>
    </row>
    <row r="10" spans="1:10" x14ac:dyDescent="0.2">
      <c r="A10" s="271"/>
      <c r="B10" s="267">
        <v>59.93</v>
      </c>
      <c r="C10" s="281">
        <v>100</v>
      </c>
      <c r="D10" s="282">
        <v>5993</v>
      </c>
      <c r="E10" s="272"/>
    </row>
    <row r="11" spans="1:10" x14ac:dyDescent="0.2">
      <c r="A11" s="273"/>
      <c r="B11" s="267">
        <v>99.89</v>
      </c>
      <c r="C11" s="283">
        <v>259</v>
      </c>
      <c r="D11" s="284">
        <v>25871.51</v>
      </c>
      <c r="E11" s="285">
        <v>35037.550000000003</v>
      </c>
    </row>
    <row r="12" spans="1:10" ht="13.5" thickBot="1" x14ac:dyDescent="0.25">
      <c r="A12" s="276"/>
      <c r="B12" s="286">
        <v>130.4</v>
      </c>
      <c r="C12" s="287"/>
      <c r="D12" s="288">
        <v>0</v>
      </c>
      <c r="E12" s="289"/>
      <c r="H12" t="s">
        <v>166</v>
      </c>
    </row>
    <row r="13" spans="1:10" ht="13.5" thickBot="1" x14ac:dyDescent="0.25">
      <c r="A13" s="266" t="s">
        <v>167</v>
      </c>
      <c r="B13" s="267">
        <v>30.51</v>
      </c>
      <c r="C13" s="268">
        <v>19</v>
      </c>
      <c r="D13" s="290">
        <v>579.69000000000005</v>
      </c>
      <c r="E13" s="291"/>
    </row>
    <row r="14" spans="1:10" x14ac:dyDescent="0.2">
      <c r="A14" s="271"/>
      <c r="B14" s="267">
        <v>59.93</v>
      </c>
      <c r="C14" s="268">
        <v>214</v>
      </c>
      <c r="D14" s="290">
        <v>12825.02</v>
      </c>
      <c r="E14" s="292"/>
    </row>
    <row r="15" spans="1:10" x14ac:dyDescent="0.2">
      <c r="A15" s="273"/>
      <c r="B15" s="267">
        <v>99.89</v>
      </c>
      <c r="C15" s="267">
        <v>455</v>
      </c>
      <c r="D15" s="293">
        <v>45449.95</v>
      </c>
      <c r="E15" s="294"/>
    </row>
    <row r="16" spans="1:10" ht="13.5" thickBot="1" x14ac:dyDescent="0.25">
      <c r="A16" s="273"/>
      <c r="B16" s="267">
        <v>130.4</v>
      </c>
      <c r="C16" s="267"/>
      <c r="D16" s="293">
        <v>0</v>
      </c>
      <c r="E16" s="295">
        <v>58854.659999999996</v>
      </c>
    </row>
    <row r="17" spans="1:10" ht="13.5" thickBot="1" x14ac:dyDescent="0.25">
      <c r="A17" s="266" t="s">
        <v>168</v>
      </c>
      <c r="B17" s="267">
        <v>30.51</v>
      </c>
      <c r="C17" s="268"/>
      <c r="D17" s="296">
        <v>0</v>
      </c>
      <c r="E17" s="270"/>
    </row>
    <row r="18" spans="1:10" x14ac:dyDescent="0.2">
      <c r="A18" s="297"/>
      <c r="B18" s="267">
        <v>59.93</v>
      </c>
      <c r="C18" s="268">
        <v>68</v>
      </c>
      <c r="D18" s="296">
        <v>4075.24</v>
      </c>
      <c r="E18" s="298"/>
    </row>
    <row r="19" spans="1:10" x14ac:dyDescent="0.2">
      <c r="A19" s="299"/>
      <c r="B19" s="267">
        <v>99.89</v>
      </c>
      <c r="C19" s="267">
        <v>105</v>
      </c>
      <c r="D19" s="300">
        <v>10488.45</v>
      </c>
      <c r="E19" s="300">
        <v>14563.69</v>
      </c>
      <c r="G19" s="301"/>
    </row>
    <row r="20" spans="1:10" ht="13.5" thickBot="1" x14ac:dyDescent="0.25">
      <c r="A20" s="302"/>
      <c r="B20" s="303">
        <v>130.4</v>
      </c>
      <c r="C20" s="265"/>
      <c r="D20" s="304">
        <v>0</v>
      </c>
      <c r="E20" s="265"/>
      <c r="F20" s="305">
        <v>160</v>
      </c>
      <c r="G20" s="305">
        <v>4881.6000000000004</v>
      </c>
      <c r="H20" s="305" t="s">
        <v>169</v>
      </c>
      <c r="I20" s="305"/>
    </row>
    <row r="21" spans="1:10" x14ac:dyDescent="0.2">
      <c r="A21" s="266" t="s">
        <v>170</v>
      </c>
      <c r="B21" s="267">
        <v>59.93</v>
      </c>
      <c r="C21" s="268"/>
      <c r="D21" s="306">
        <v>0</v>
      </c>
      <c r="E21" s="270"/>
      <c r="F21" s="257">
        <v>509</v>
      </c>
      <c r="G21" s="258">
        <v>30504.37</v>
      </c>
      <c r="H21" s="259" t="s">
        <v>93</v>
      </c>
      <c r="I21" s="257"/>
      <c r="J21" s="257"/>
    </row>
    <row r="22" spans="1:10" ht="13.5" thickBot="1" x14ac:dyDescent="0.25">
      <c r="A22" s="276"/>
      <c r="B22" s="267">
        <v>99.89</v>
      </c>
      <c r="C22" s="278"/>
      <c r="D22" s="307">
        <v>0</v>
      </c>
      <c r="E22" s="308">
        <v>0</v>
      </c>
      <c r="F22" s="257">
        <v>1083</v>
      </c>
      <c r="G22" s="258">
        <v>108180.87</v>
      </c>
      <c r="H22" s="259" t="s">
        <v>4</v>
      </c>
      <c r="I22" s="257"/>
      <c r="J22" s="258"/>
    </row>
    <row r="23" spans="1:10" x14ac:dyDescent="0.2">
      <c r="A23" s="309"/>
      <c r="B23" s="310"/>
      <c r="C23" s="311">
        <v>1752</v>
      </c>
      <c r="D23" s="312">
        <v>143566.84000000003</v>
      </c>
      <c r="E23" s="313"/>
      <c r="F23" s="314">
        <v>1752</v>
      </c>
      <c r="G23" s="315">
        <v>143566.84</v>
      </c>
      <c r="H23" s="316"/>
      <c r="I23" s="314"/>
      <c r="J23" s="315"/>
    </row>
    <row r="24" spans="1:10" x14ac:dyDescent="0.2">
      <c r="A24" s="317" t="s">
        <v>171</v>
      </c>
      <c r="B24" s="310"/>
      <c r="C24" s="310"/>
      <c r="D24" s="312"/>
      <c r="E24" s="313"/>
      <c r="F24" s="314"/>
      <c r="G24" s="315"/>
      <c r="H24" s="316"/>
      <c r="I24" s="314"/>
      <c r="J24" s="3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17</vt:i4>
      </vt:variant>
    </vt:vector>
  </HeadingPairs>
  <TitlesOfParts>
    <vt:vector size="31" baseType="lpstr">
      <vt:lpstr>СТУДЕНТЫ</vt:lpstr>
      <vt:lpstr>ведомость малоимущих</vt:lpstr>
      <vt:lpstr>табель малоимущих</vt:lpstr>
      <vt:lpstr>ведомость ОВЗ</vt:lpstr>
      <vt:lpstr>табель ОВЗ завтрак</vt:lpstr>
      <vt:lpstr>табель ОВЗ обед</vt:lpstr>
      <vt:lpstr>ведомость сирот</vt:lpstr>
      <vt:lpstr>расчет сирот</vt:lpstr>
      <vt:lpstr>табель сирот</vt:lpstr>
      <vt:lpstr>ведомость мног</vt:lpstr>
      <vt:lpstr>табель мног завтрак</vt:lpstr>
      <vt:lpstr>табель мног обед</vt:lpstr>
      <vt:lpstr>ведомость сух.паек</vt:lpstr>
      <vt:lpstr>СТОЛОВАЯ</vt:lpstr>
      <vt:lpstr>'ведомость малоимущих'!Заголовки_для_печати</vt:lpstr>
      <vt:lpstr>'ведомость ОВЗ'!Заголовки_для_печати</vt:lpstr>
      <vt:lpstr>'ведомость сирот'!Заголовки_для_печати</vt:lpstr>
      <vt:lpstr>'расчет сирот'!Заголовки_для_печати</vt:lpstr>
      <vt:lpstr>'табель малоимущих'!Заголовки_для_печати</vt:lpstr>
      <vt:lpstr>'табель ОВЗ завтрак'!Заголовки_для_печати</vt:lpstr>
      <vt:lpstr>'табель ОВЗ обед'!Заголовки_для_печати</vt:lpstr>
      <vt:lpstr>'табель сирот'!Заголовки_для_печати</vt:lpstr>
      <vt:lpstr>СТУДЕНТЫ!Критерии</vt:lpstr>
      <vt:lpstr>'ведомость малоимущих'!Область_печати</vt:lpstr>
      <vt:lpstr>'ведомость ОВЗ'!Область_печати</vt:lpstr>
      <vt:lpstr>'ведомость сирот'!Область_печати</vt:lpstr>
      <vt:lpstr>'расчет сирот'!Область_печати</vt:lpstr>
      <vt:lpstr>'табель малоимущих'!Область_печати</vt:lpstr>
      <vt:lpstr>'табель ОВЗ завтрак'!Область_печати</vt:lpstr>
      <vt:lpstr>'табель ОВЗ обед'!Область_печати</vt:lpstr>
      <vt:lpstr>'табель сирот'!Область_печати</vt:lpstr>
    </vt:vector>
  </TitlesOfParts>
  <Company>emk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Сергеева Ольга Александровна</dc:creator>
  <cp:lastModifiedBy>Иванов Андрей Вячаславович</cp:lastModifiedBy>
  <cp:lastPrinted>2025-10-09T05:44:07Z</cp:lastPrinted>
  <dcterms:created xsi:type="dcterms:W3CDTF">2017-12-05T13:24:39Z</dcterms:created>
  <dcterms:modified xsi:type="dcterms:W3CDTF">2025-12-05T10:41:42Z</dcterms:modified>
</cp:coreProperties>
</file>